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hiv\Desktop\Arya innovtech pvt ltd\"/>
    </mc:Choice>
  </mc:AlternateContent>
  <xr:revisionPtr revIDLastSave="0" documentId="8_{3D9D1424-6909-4CE5-8E84-8B39FDD0B79B}" xr6:coauthVersionLast="36" xr6:coauthVersionMax="36" xr10:uidLastSave="{00000000-0000-0000-0000-000000000000}"/>
  <bookViews>
    <workbookView xWindow="0" yWindow="0" windowWidth="14380" windowHeight="4070" xr2:uid="{00000000-000D-0000-FFFF-FFFF00000000}"/>
  </bookViews>
  <sheets>
    <sheet name="1. DASHBOARD" sheetId="1" r:id="rId1"/>
    <sheet name="2. ITEM MASTER" sheetId="2" r:id="rId2"/>
    <sheet name="3. STOCK IN" sheetId="3" r:id="rId3"/>
    <sheet name="4. STOCK OUT" sheetId="4" r:id="rId4"/>
    <sheet name="5. CURRENT STOCK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5" i="5" l="1"/>
  <c r="C365" i="5"/>
  <c r="A365" i="5"/>
  <c r="A364" i="5"/>
  <c r="G363" i="5"/>
  <c r="F363" i="5"/>
  <c r="E363" i="5"/>
  <c r="D363" i="5"/>
  <c r="C363" i="5"/>
  <c r="B363" i="5"/>
  <c r="A363" i="5"/>
  <c r="D362" i="5"/>
  <c r="C362" i="5"/>
  <c r="A362" i="5"/>
  <c r="G361" i="5"/>
  <c r="F361" i="5"/>
  <c r="E361" i="5"/>
  <c r="D361" i="5"/>
  <c r="C361" i="5"/>
  <c r="A361" i="5"/>
  <c r="B361" i="5" s="1"/>
  <c r="F360" i="5"/>
  <c r="E360" i="5"/>
  <c r="D360" i="5"/>
  <c r="C360" i="5"/>
  <c r="B360" i="5"/>
  <c r="A360" i="5"/>
  <c r="G360" i="5" s="1"/>
  <c r="G359" i="5"/>
  <c r="A359" i="5"/>
  <c r="G358" i="5"/>
  <c r="F358" i="5"/>
  <c r="E358" i="5"/>
  <c r="D358" i="5"/>
  <c r="B358" i="5"/>
  <c r="A358" i="5"/>
  <c r="C358" i="5" s="1"/>
  <c r="B357" i="5"/>
  <c r="A357" i="5"/>
  <c r="G356" i="5"/>
  <c r="F356" i="5"/>
  <c r="E356" i="5"/>
  <c r="D356" i="5"/>
  <c r="C356" i="5"/>
  <c r="B356" i="5"/>
  <c r="A356" i="5"/>
  <c r="E355" i="5"/>
  <c r="D355" i="5"/>
  <c r="B355" i="5"/>
  <c r="A355" i="5"/>
  <c r="G354" i="5"/>
  <c r="F354" i="5"/>
  <c r="E354" i="5"/>
  <c r="D354" i="5"/>
  <c r="C354" i="5"/>
  <c r="B354" i="5"/>
  <c r="A354" i="5"/>
  <c r="G353" i="5"/>
  <c r="F353" i="5"/>
  <c r="E353" i="5"/>
  <c r="D353" i="5"/>
  <c r="C353" i="5"/>
  <c r="A353" i="5"/>
  <c r="B353" i="5" s="1"/>
  <c r="F352" i="5"/>
  <c r="A352" i="5"/>
  <c r="G351" i="5"/>
  <c r="A351" i="5"/>
  <c r="C350" i="5"/>
  <c r="A350" i="5"/>
  <c r="G349" i="5"/>
  <c r="E349" i="5"/>
  <c r="D349" i="5"/>
  <c r="C349" i="5"/>
  <c r="A349" i="5"/>
  <c r="F349" i="5" s="1"/>
  <c r="F348" i="5"/>
  <c r="E348" i="5"/>
  <c r="D348" i="5"/>
  <c r="C348" i="5"/>
  <c r="B348" i="5"/>
  <c r="A348" i="5"/>
  <c r="G348" i="5" s="1"/>
  <c r="G347" i="5"/>
  <c r="E347" i="5"/>
  <c r="A347" i="5"/>
  <c r="G346" i="5"/>
  <c r="F346" i="5"/>
  <c r="E346" i="5"/>
  <c r="D346" i="5"/>
  <c r="B346" i="5"/>
  <c r="A346" i="5"/>
  <c r="C346" i="5" s="1"/>
  <c r="C345" i="5"/>
  <c r="A345" i="5"/>
  <c r="G344" i="5"/>
  <c r="F344" i="5"/>
  <c r="D344" i="5"/>
  <c r="C344" i="5"/>
  <c r="B344" i="5"/>
  <c r="A344" i="5"/>
  <c r="E344" i="5" s="1"/>
  <c r="E343" i="5"/>
  <c r="D343" i="5"/>
  <c r="C343" i="5"/>
  <c r="B343" i="5"/>
  <c r="A343" i="5"/>
  <c r="G342" i="5"/>
  <c r="F342" i="5"/>
  <c r="E342" i="5"/>
  <c r="D342" i="5"/>
  <c r="C342" i="5"/>
  <c r="B342" i="5"/>
  <c r="A342" i="5"/>
  <c r="F341" i="5"/>
  <c r="D341" i="5"/>
  <c r="A341" i="5"/>
  <c r="B341" i="5" s="1"/>
  <c r="G340" i="5"/>
  <c r="A340" i="5"/>
  <c r="A339" i="5"/>
  <c r="D338" i="5"/>
  <c r="C338" i="5"/>
  <c r="B338" i="5"/>
  <c r="A338" i="5"/>
  <c r="G337" i="5"/>
  <c r="E337" i="5"/>
  <c r="D337" i="5"/>
  <c r="C337" i="5"/>
  <c r="A337" i="5"/>
  <c r="F337" i="5" s="1"/>
  <c r="F336" i="5"/>
  <c r="E336" i="5"/>
  <c r="D336" i="5"/>
  <c r="C336" i="5"/>
  <c r="B336" i="5"/>
  <c r="A336" i="5"/>
  <c r="G336" i="5" s="1"/>
  <c r="E335" i="5"/>
  <c r="A335" i="5"/>
  <c r="G334" i="5"/>
  <c r="F334" i="5"/>
  <c r="E334" i="5"/>
  <c r="D334" i="5"/>
  <c r="B334" i="5"/>
  <c r="A334" i="5"/>
  <c r="C334" i="5" s="1"/>
  <c r="G333" i="5"/>
  <c r="C333" i="5"/>
  <c r="A333" i="5"/>
  <c r="G332" i="5"/>
  <c r="F332" i="5"/>
  <c r="D332" i="5"/>
  <c r="C332" i="5"/>
  <c r="B332" i="5"/>
  <c r="A332" i="5"/>
  <c r="E332" i="5" s="1"/>
  <c r="E331" i="5"/>
  <c r="D331" i="5"/>
  <c r="C331" i="5"/>
  <c r="B331" i="5"/>
  <c r="A331" i="5"/>
  <c r="G330" i="5"/>
  <c r="F330" i="5"/>
  <c r="E330" i="5"/>
  <c r="D330" i="5"/>
  <c r="C330" i="5"/>
  <c r="B330" i="5"/>
  <c r="A330" i="5"/>
  <c r="G329" i="5"/>
  <c r="F329" i="5"/>
  <c r="E329" i="5"/>
  <c r="D329" i="5"/>
  <c r="A329" i="5"/>
  <c r="B329" i="5" s="1"/>
  <c r="G328" i="5"/>
  <c r="D328" i="5"/>
  <c r="B328" i="5"/>
  <c r="A328" i="5"/>
  <c r="C328" i="5" s="1"/>
  <c r="G327" i="5"/>
  <c r="F327" i="5"/>
  <c r="E327" i="5"/>
  <c r="C327" i="5"/>
  <c r="A327" i="5"/>
  <c r="D327" i="5" s="1"/>
  <c r="G326" i="5"/>
  <c r="B326" i="5"/>
  <c r="A326" i="5"/>
  <c r="E326" i="5" s="1"/>
  <c r="G325" i="5"/>
  <c r="E325" i="5"/>
  <c r="D325" i="5"/>
  <c r="C325" i="5"/>
  <c r="A325" i="5"/>
  <c r="F325" i="5" s="1"/>
  <c r="F324" i="5"/>
  <c r="E324" i="5"/>
  <c r="D324" i="5"/>
  <c r="C324" i="5"/>
  <c r="B324" i="5"/>
  <c r="A324" i="5"/>
  <c r="G324" i="5" s="1"/>
  <c r="G323" i="5"/>
  <c r="F323" i="5"/>
  <c r="E323" i="5"/>
  <c r="D323" i="5"/>
  <c r="A323" i="5"/>
  <c r="B323" i="5" s="1"/>
  <c r="G322" i="5"/>
  <c r="D322" i="5"/>
  <c r="B322" i="5"/>
  <c r="A322" i="5"/>
  <c r="C322" i="5" s="1"/>
  <c r="G321" i="5"/>
  <c r="F321" i="5"/>
  <c r="E321" i="5"/>
  <c r="C321" i="5"/>
  <c r="A321" i="5"/>
  <c r="D321" i="5" s="1"/>
  <c r="G320" i="5"/>
  <c r="B320" i="5"/>
  <c r="A320" i="5"/>
  <c r="E320" i="5" s="1"/>
  <c r="G319" i="5"/>
  <c r="E319" i="5"/>
  <c r="D319" i="5"/>
  <c r="C319" i="5"/>
  <c r="A319" i="5"/>
  <c r="F319" i="5" s="1"/>
  <c r="G318" i="5"/>
  <c r="F318" i="5"/>
  <c r="E318" i="5"/>
  <c r="D318" i="5"/>
  <c r="C318" i="5"/>
  <c r="B318" i="5"/>
  <c r="A318" i="5"/>
  <c r="E317" i="5"/>
  <c r="A317" i="5"/>
  <c r="D316" i="5"/>
  <c r="A316" i="5"/>
  <c r="E315" i="5"/>
  <c r="A315" i="5"/>
  <c r="C314" i="5"/>
  <c r="A314" i="5"/>
  <c r="A313" i="5"/>
  <c r="F312" i="5"/>
  <c r="E312" i="5"/>
  <c r="D312" i="5"/>
  <c r="C312" i="5"/>
  <c r="B312" i="5"/>
  <c r="A312" i="5"/>
  <c r="G312" i="5" s="1"/>
  <c r="E311" i="5"/>
  <c r="A311" i="5"/>
  <c r="D310" i="5"/>
  <c r="A310" i="5"/>
  <c r="A309" i="5"/>
  <c r="C308" i="5"/>
  <c r="A308" i="5"/>
  <c r="D307" i="5"/>
  <c r="A307" i="5"/>
  <c r="G306" i="5"/>
  <c r="F306" i="5"/>
  <c r="E306" i="5"/>
  <c r="D306" i="5"/>
  <c r="C306" i="5"/>
  <c r="B306" i="5"/>
  <c r="A306" i="5"/>
  <c r="G305" i="5"/>
  <c r="F305" i="5"/>
  <c r="D305" i="5"/>
  <c r="C305" i="5"/>
  <c r="A305" i="5"/>
  <c r="B305" i="5" s="1"/>
  <c r="G304" i="5"/>
  <c r="F304" i="5"/>
  <c r="E304" i="5"/>
  <c r="D304" i="5"/>
  <c r="B304" i="5"/>
  <c r="A304" i="5"/>
  <c r="C304" i="5" s="1"/>
  <c r="G303" i="5"/>
  <c r="F303" i="5"/>
  <c r="B303" i="5"/>
  <c r="A303" i="5"/>
  <c r="D303" i="5" s="1"/>
  <c r="G302" i="5"/>
  <c r="F302" i="5"/>
  <c r="D302" i="5"/>
  <c r="C302" i="5"/>
  <c r="B302" i="5"/>
  <c r="A302" i="5"/>
  <c r="E302" i="5" s="1"/>
  <c r="G301" i="5"/>
  <c r="E301" i="5"/>
  <c r="B301" i="5"/>
  <c r="A301" i="5"/>
  <c r="F301" i="5" s="1"/>
  <c r="F300" i="5"/>
  <c r="E300" i="5"/>
  <c r="D300" i="5"/>
  <c r="C300" i="5"/>
  <c r="B300" i="5"/>
  <c r="A300" i="5"/>
  <c r="G300" i="5" s="1"/>
  <c r="G299" i="5"/>
  <c r="F299" i="5"/>
  <c r="C299" i="5"/>
  <c r="A299" i="5"/>
  <c r="B299" i="5" s="1"/>
  <c r="G298" i="5"/>
  <c r="F298" i="5"/>
  <c r="E298" i="5"/>
  <c r="D298" i="5"/>
  <c r="B298" i="5"/>
  <c r="A298" i="5"/>
  <c r="C298" i="5" s="1"/>
  <c r="G297" i="5"/>
  <c r="F297" i="5"/>
  <c r="B297" i="5"/>
  <c r="A297" i="5"/>
  <c r="D297" i="5" s="1"/>
  <c r="F296" i="5"/>
  <c r="D296" i="5"/>
  <c r="C296" i="5"/>
  <c r="B296" i="5"/>
  <c r="A296" i="5"/>
  <c r="E296" i="5" s="1"/>
  <c r="G295" i="5"/>
  <c r="E295" i="5"/>
  <c r="B295" i="5"/>
  <c r="A295" i="5"/>
  <c r="F295" i="5" s="1"/>
  <c r="G294" i="5"/>
  <c r="F294" i="5"/>
  <c r="E294" i="5"/>
  <c r="D294" i="5"/>
  <c r="C294" i="5"/>
  <c r="B294" i="5"/>
  <c r="A294" i="5"/>
  <c r="G293" i="5"/>
  <c r="D293" i="5"/>
  <c r="C293" i="5"/>
  <c r="A293" i="5"/>
  <c r="B293" i="5" s="1"/>
  <c r="F292" i="5"/>
  <c r="E292" i="5"/>
  <c r="D292" i="5"/>
  <c r="A292" i="5"/>
  <c r="C292" i="5" s="1"/>
  <c r="G291" i="5"/>
  <c r="C291" i="5"/>
  <c r="B291" i="5"/>
  <c r="A291" i="5"/>
  <c r="D291" i="5" s="1"/>
  <c r="F290" i="5"/>
  <c r="D290" i="5"/>
  <c r="C290" i="5"/>
  <c r="A290" i="5"/>
  <c r="E290" i="5" s="1"/>
  <c r="G289" i="5"/>
  <c r="C289" i="5"/>
  <c r="B289" i="5"/>
  <c r="A289" i="5"/>
  <c r="F289" i="5" s="1"/>
  <c r="F288" i="5"/>
  <c r="E288" i="5"/>
  <c r="D288" i="5"/>
  <c r="C288" i="5"/>
  <c r="B288" i="5"/>
  <c r="A288" i="5"/>
  <c r="G288" i="5" s="1"/>
  <c r="G287" i="5"/>
  <c r="D287" i="5"/>
  <c r="C287" i="5"/>
  <c r="A287" i="5"/>
  <c r="B287" i="5" s="1"/>
  <c r="F286" i="5"/>
  <c r="E286" i="5"/>
  <c r="D286" i="5"/>
  <c r="A286" i="5"/>
  <c r="C286" i="5" s="1"/>
  <c r="G285" i="5"/>
  <c r="C285" i="5"/>
  <c r="B285" i="5"/>
  <c r="A285" i="5"/>
  <c r="D285" i="5" s="1"/>
  <c r="F284" i="5"/>
  <c r="D284" i="5"/>
  <c r="C284" i="5"/>
  <c r="A284" i="5"/>
  <c r="E284" i="5" s="1"/>
  <c r="G283" i="5"/>
  <c r="C283" i="5"/>
  <c r="B283" i="5"/>
  <c r="A283" i="5"/>
  <c r="F283" i="5" s="1"/>
  <c r="G282" i="5"/>
  <c r="F282" i="5"/>
  <c r="E282" i="5"/>
  <c r="D282" i="5"/>
  <c r="C282" i="5"/>
  <c r="B282" i="5"/>
  <c r="A282" i="5"/>
  <c r="E281" i="5"/>
  <c r="D281" i="5"/>
  <c r="C281" i="5"/>
  <c r="A281" i="5"/>
  <c r="B281" i="5" s="1"/>
  <c r="A280" i="5"/>
  <c r="E279" i="5"/>
  <c r="C279" i="5"/>
  <c r="B279" i="5"/>
  <c r="A279" i="5"/>
  <c r="D279" i="5" s="1"/>
  <c r="G278" i="5"/>
  <c r="D278" i="5"/>
  <c r="A278" i="5"/>
  <c r="D277" i="5"/>
  <c r="C277" i="5"/>
  <c r="B277" i="5"/>
  <c r="A277" i="5"/>
  <c r="F277" i="5" s="1"/>
  <c r="F276" i="5"/>
  <c r="E276" i="5"/>
  <c r="D276" i="5"/>
  <c r="C276" i="5"/>
  <c r="B276" i="5"/>
  <c r="A276" i="5"/>
  <c r="G276" i="5" s="1"/>
  <c r="E275" i="5"/>
  <c r="D275" i="5"/>
  <c r="C275" i="5"/>
  <c r="A275" i="5"/>
  <c r="B275" i="5" s="1"/>
  <c r="A274" i="5"/>
  <c r="E273" i="5"/>
  <c r="C273" i="5"/>
  <c r="B273" i="5"/>
  <c r="A273" i="5"/>
  <c r="D273" i="5" s="1"/>
  <c r="F272" i="5"/>
  <c r="A272" i="5"/>
  <c r="D271" i="5"/>
  <c r="C271" i="5"/>
  <c r="B271" i="5"/>
  <c r="A271" i="5"/>
  <c r="F271" i="5" s="1"/>
  <c r="G270" i="5"/>
  <c r="F270" i="5"/>
  <c r="E270" i="5"/>
  <c r="D270" i="5"/>
  <c r="C270" i="5"/>
  <c r="B270" i="5"/>
  <c r="A270" i="5"/>
  <c r="E269" i="5"/>
  <c r="A269" i="5"/>
  <c r="G268" i="5"/>
  <c r="F268" i="5"/>
  <c r="E268" i="5"/>
  <c r="D268" i="5"/>
  <c r="B268" i="5"/>
  <c r="A268" i="5"/>
  <c r="C268" i="5" s="1"/>
  <c r="A267" i="5"/>
  <c r="A266" i="5"/>
  <c r="E266" i="5" s="1"/>
  <c r="E265" i="5"/>
  <c r="D265" i="5"/>
  <c r="C265" i="5"/>
  <c r="A265" i="5"/>
  <c r="E264" i="5"/>
  <c r="D264" i="5"/>
  <c r="C264" i="5"/>
  <c r="B264" i="5"/>
  <c r="A264" i="5"/>
  <c r="E263" i="5"/>
  <c r="A263" i="5"/>
  <c r="E262" i="5"/>
  <c r="D262" i="5"/>
  <c r="F262" i="5" s="1"/>
  <c r="G262" i="5" s="1"/>
  <c r="C262" i="5"/>
  <c r="A262" i="5"/>
  <c r="B262" i="5" s="1"/>
  <c r="B261" i="5"/>
  <c r="A261" i="5"/>
  <c r="E260" i="5"/>
  <c r="A260" i="5"/>
  <c r="E259" i="5"/>
  <c r="C259" i="5"/>
  <c r="B259" i="5"/>
  <c r="A259" i="5"/>
  <c r="E258" i="5"/>
  <c r="D258" i="5"/>
  <c r="C258" i="5"/>
  <c r="B258" i="5"/>
  <c r="A258" i="5"/>
  <c r="E257" i="5"/>
  <c r="D257" i="5"/>
  <c r="C257" i="5"/>
  <c r="A257" i="5"/>
  <c r="B256" i="5"/>
  <c r="A256" i="5"/>
  <c r="A255" i="5"/>
  <c r="D254" i="5"/>
  <c r="C254" i="5"/>
  <c r="B254" i="5"/>
  <c r="A254" i="5"/>
  <c r="E254" i="5" s="1"/>
  <c r="F253" i="5"/>
  <c r="G253" i="5" s="1"/>
  <c r="E253" i="5"/>
  <c r="D253" i="5"/>
  <c r="C253" i="5"/>
  <c r="B253" i="5"/>
  <c r="A253" i="5"/>
  <c r="E252" i="5"/>
  <c r="D252" i="5"/>
  <c r="A252" i="5"/>
  <c r="E251" i="5"/>
  <c r="D251" i="5"/>
  <c r="F251" i="5" s="1"/>
  <c r="G251" i="5" s="1"/>
  <c r="C251" i="5"/>
  <c r="A251" i="5"/>
  <c r="B251" i="5" s="1"/>
  <c r="D250" i="5"/>
  <c r="B250" i="5"/>
  <c r="A250" i="5"/>
  <c r="E249" i="5"/>
  <c r="C249" i="5"/>
  <c r="B249" i="5"/>
  <c r="A249" i="5"/>
  <c r="D249" i="5" s="1"/>
  <c r="F249" i="5" s="1"/>
  <c r="G249" i="5" s="1"/>
  <c r="C248" i="5"/>
  <c r="A248" i="5"/>
  <c r="A247" i="5"/>
  <c r="E246" i="5"/>
  <c r="D246" i="5"/>
  <c r="F246" i="5" s="1"/>
  <c r="G246" i="5" s="1"/>
  <c r="C246" i="5"/>
  <c r="B246" i="5"/>
  <c r="A246" i="5"/>
  <c r="A245" i="5"/>
  <c r="E244" i="5"/>
  <c r="D244" i="5"/>
  <c r="F244" i="5" s="1"/>
  <c r="A244" i="5"/>
  <c r="D243" i="5"/>
  <c r="C243" i="5"/>
  <c r="B243" i="5"/>
  <c r="A243" i="5"/>
  <c r="D242" i="5"/>
  <c r="F242" i="5" s="1"/>
  <c r="G242" i="5" s="1"/>
  <c r="C242" i="5"/>
  <c r="B242" i="5"/>
  <c r="A242" i="5"/>
  <c r="E242" i="5" s="1"/>
  <c r="D241" i="5"/>
  <c r="C241" i="5"/>
  <c r="A241" i="5"/>
  <c r="E240" i="5"/>
  <c r="D240" i="5"/>
  <c r="F240" i="5" s="1"/>
  <c r="C240" i="5"/>
  <c r="B240" i="5"/>
  <c r="A240" i="5"/>
  <c r="A239" i="5"/>
  <c r="E238" i="5"/>
  <c r="D238" i="5"/>
  <c r="F238" i="5" s="1"/>
  <c r="G238" i="5" s="1"/>
  <c r="C238" i="5"/>
  <c r="B238" i="5"/>
  <c r="A238" i="5"/>
  <c r="A237" i="5"/>
  <c r="E236" i="5"/>
  <c r="D236" i="5"/>
  <c r="F236" i="5" s="1"/>
  <c r="G236" i="5" s="1"/>
  <c r="A236" i="5"/>
  <c r="E235" i="5"/>
  <c r="C235" i="5"/>
  <c r="B235" i="5"/>
  <c r="A235" i="5"/>
  <c r="E234" i="5"/>
  <c r="D234" i="5"/>
  <c r="F234" i="5" s="1"/>
  <c r="G234" i="5" s="1"/>
  <c r="C234" i="5"/>
  <c r="B234" i="5"/>
  <c r="A234" i="5"/>
  <c r="E233" i="5"/>
  <c r="D233" i="5"/>
  <c r="C233" i="5"/>
  <c r="A233" i="5"/>
  <c r="A232" i="5"/>
  <c r="D231" i="5"/>
  <c r="C231" i="5"/>
  <c r="B231" i="5"/>
  <c r="A231" i="5"/>
  <c r="A230" i="5"/>
  <c r="E229" i="5"/>
  <c r="D229" i="5"/>
  <c r="C229" i="5"/>
  <c r="B229" i="5"/>
  <c r="A229" i="5"/>
  <c r="E228" i="5"/>
  <c r="B228" i="5"/>
  <c r="A228" i="5"/>
  <c r="E227" i="5"/>
  <c r="A227" i="5"/>
  <c r="E226" i="5"/>
  <c r="B226" i="5"/>
  <c r="A226" i="5"/>
  <c r="E225" i="5"/>
  <c r="C225" i="5"/>
  <c r="B225" i="5"/>
  <c r="A225" i="5"/>
  <c r="D225" i="5" s="1"/>
  <c r="F225" i="5" s="1"/>
  <c r="G225" i="5" s="1"/>
  <c r="B224" i="5"/>
  <c r="A224" i="5"/>
  <c r="A223" i="5"/>
  <c r="F222" i="5"/>
  <c r="G222" i="5" s="1"/>
  <c r="E222" i="5"/>
  <c r="D222" i="5"/>
  <c r="C222" i="5"/>
  <c r="B222" i="5"/>
  <c r="A222" i="5"/>
  <c r="A221" i="5"/>
  <c r="B220" i="5"/>
  <c r="A220" i="5"/>
  <c r="D219" i="5"/>
  <c r="F219" i="5" s="1"/>
  <c r="G219" i="5" s="1"/>
  <c r="C219" i="5"/>
  <c r="B219" i="5"/>
  <c r="A219" i="5"/>
  <c r="E219" i="5" s="1"/>
  <c r="C218" i="5"/>
  <c r="B218" i="5"/>
  <c r="A218" i="5"/>
  <c r="D217" i="5"/>
  <c r="C217" i="5"/>
  <c r="A217" i="5"/>
  <c r="A216" i="5"/>
  <c r="A215" i="5"/>
  <c r="E214" i="5"/>
  <c r="D214" i="5"/>
  <c r="F214" i="5" s="1"/>
  <c r="G214" i="5" s="1"/>
  <c r="C214" i="5"/>
  <c r="B214" i="5"/>
  <c r="A214" i="5"/>
  <c r="A213" i="5"/>
  <c r="D212" i="5"/>
  <c r="C212" i="5"/>
  <c r="A212" i="5"/>
  <c r="E211" i="5"/>
  <c r="D211" i="5"/>
  <c r="B211" i="5"/>
  <c r="A211" i="5"/>
  <c r="E210" i="5"/>
  <c r="D210" i="5"/>
  <c r="F210" i="5" s="1"/>
  <c r="G210" i="5" s="1"/>
  <c r="C210" i="5"/>
  <c r="B210" i="5"/>
  <c r="A210" i="5"/>
  <c r="E209" i="5"/>
  <c r="F209" i="5" s="1"/>
  <c r="G209" i="5" s="1"/>
  <c r="D209" i="5"/>
  <c r="C209" i="5"/>
  <c r="B209" i="5"/>
  <c r="A209" i="5"/>
  <c r="D208" i="5"/>
  <c r="B208" i="5"/>
  <c r="A208" i="5"/>
  <c r="E207" i="5"/>
  <c r="D207" i="5"/>
  <c r="C207" i="5"/>
  <c r="B207" i="5"/>
  <c r="A207" i="5"/>
  <c r="D206" i="5"/>
  <c r="C206" i="5"/>
  <c r="B206" i="5"/>
  <c r="A206" i="5"/>
  <c r="E205" i="5"/>
  <c r="D205" i="5"/>
  <c r="C205" i="5"/>
  <c r="B205" i="5"/>
  <c r="A205" i="5"/>
  <c r="E204" i="5"/>
  <c r="D204" i="5"/>
  <c r="C204" i="5"/>
  <c r="B204" i="5"/>
  <c r="A204" i="5"/>
  <c r="A203" i="5"/>
  <c r="A202" i="5"/>
  <c r="E201" i="5"/>
  <c r="F201" i="5" s="1"/>
  <c r="G201" i="5" s="1"/>
  <c r="C201" i="5"/>
  <c r="B201" i="5"/>
  <c r="A201" i="5"/>
  <c r="D201" i="5" s="1"/>
  <c r="D200" i="5"/>
  <c r="B200" i="5"/>
  <c r="A200" i="5"/>
  <c r="E199" i="5"/>
  <c r="D199" i="5"/>
  <c r="C199" i="5"/>
  <c r="A199" i="5"/>
  <c r="E198" i="5"/>
  <c r="D198" i="5"/>
  <c r="F198" i="5" s="1"/>
  <c r="G198" i="5" s="1"/>
  <c r="C198" i="5"/>
  <c r="B198" i="5"/>
  <c r="A198" i="5"/>
  <c r="E197" i="5"/>
  <c r="F197" i="5" s="1"/>
  <c r="G197" i="5" s="1"/>
  <c r="C197" i="5"/>
  <c r="B197" i="5"/>
  <c r="A197" i="5"/>
  <c r="D197" i="5" s="1"/>
  <c r="E196" i="5"/>
  <c r="A196" i="5"/>
  <c r="D195" i="5"/>
  <c r="F195" i="5" s="1"/>
  <c r="G195" i="5" s="1"/>
  <c r="C195" i="5"/>
  <c r="B195" i="5"/>
  <c r="A195" i="5"/>
  <c r="E195" i="5" s="1"/>
  <c r="E194" i="5"/>
  <c r="B194" i="5"/>
  <c r="A194" i="5"/>
  <c r="C194" i="5" s="1"/>
  <c r="E193" i="5"/>
  <c r="D193" i="5"/>
  <c r="C193" i="5"/>
  <c r="A193" i="5"/>
  <c r="E192" i="5"/>
  <c r="A192" i="5"/>
  <c r="E191" i="5"/>
  <c r="D191" i="5"/>
  <c r="B191" i="5"/>
  <c r="A191" i="5"/>
  <c r="C191" i="5" s="1"/>
  <c r="A190" i="5"/>
  <c r="E189" i="5"/>
  <c r="F189" i="5" s="1"/>
  <c r="G189" i="5" s="1"/>
  <c r="C189" i="5"/>
  <c r="B189" i="5"/>
  <c r="A189" i="5"/>
  <c r="D189" i="5" s="1"/>
  <c r="D188" i="5"/>
  <c r="C188" i="5"/>
  <c r="A188" i="5"/>
  <c r="G187" i="5"/>
  <c r="E187" i="5"/>
  <c r="D187" i="5"/>
  <c r="F187" i="5" s="1"/>
  <c r="C187" i="5"/>
  <c r="B187" i="5"/>
  <c r="A187" i="5"/>
  <c r="E186" i="5"/>
  <c r="D186" i="5"/>
  <c r="F186" i="5" s="1"/>
  <c r="G186" i="5" s="1"/>
  <c r="C186" i="5"/>
  <c r="B186" i="5"/>
  <c r="A186" i="5"/>
  <c r="E185" i="5"/>
  <c r="D185" i="5"/>
  <c r="F185" i="5" s="1"/>
  <c r="A185" i="5"/>
  <c r="E184" i="5"/>
  <c r="F184" i="5" s="1"/>
  <c r="G184" i="5" s="1"/>
  <c r="D184" i="5"/>
  <c r="C184" i="5"/>
  <c r="B184" i="5"/>
  <c r="A184" i="5"/>
  <c r="D183" i="5"/>
  <c r="B183" i="5"/>
  <c r="A183" i="5"/>
  <c r="E182" i="5"/>
  <c r="D182" i="5"/>
  <c r="C182" i="5"/>
  <c r="A182" i="5"/>
  <c r="B182" i="5" s="1"/>
  <c r="D181" i="5"/>
  <c r="A181" i="5"/>
  <c r="F180" i="5"/>
  <c r="E180" i="5"/>
  <c r="D180" i="5"/>
  <c r="A180" i="5"/>
  <c r="A179" i="5"/>
  <c r="B178" i="5"/>
  <c r="A178" i="5"/>
  <c r="D177" i="5"/>
  <c r="B177" i="5"/>
  <c r="A177" i="5"/>
  <c r="E176" i="5"/>
  <c r="C176" i="5"/>
  <c r="B176" i="5"/>
  <c r="A176" i="5"/>
  <c r="E175" i="5"/>
  <c r="D175" i="5"/>
  <c r="F175" i="5" s="1"/>
  <c r="G175" i="5" s="1"/>
  <c r="C175" i="5"/>
  <c r="B175" i="5"/>
  <c r="A175" i="5"/>
  <c r="E174" i="5"/>
  <c r="D174" i="5"/>
  <c r="C174" i="5"/>
  <c r="B174" i="5"/>
  <c r="A174" i="5"/>
  <c r="A173" i="5"/>
  <c r="E172" i="5"/>
  <c r="D172" i="5"/>
  <c r="F172" i="5" s="1"/>
  <c r="C172" i="5"/>
  <c r="B172" i="5"/>
  <c r="A172" i="5"/>
  <c r="D171" i="5"/>
  <c r="F171" i="5" s="1"/>
  <c r="G171" i="5" s="1"/>
  <c r="C171" i="5"/>
  <c r="B171" i="5"/>
  <c r="A171" i="5"/>
  <c r="E171" i="5" s="1"/>
  <c r="D170" i="5"/>
  <c r="A170" i="5"/>
  <c r="E169" i="5"/>
  <c r="A169" i="5"/>
  <c r="E168" i="5"/>
  <c r="D168" i="5"/>
  <c r="F168" i="5" s="1"/>
  <c r="G168" i="5" s="1"/>
  <c r="C168" i="5"/>
  <c r="A168" i="5"/>
  <c r="B168" i="5" s="1"/>
  <c r="B167" i="5"/>
  <c r="A167" i="5"/>
  <c r="E166" i="5"/>
  <c r="F166" i="5" s="1"/>
  <c r="G166" i="5" s="1"/>
  <c r="C166" i="5"/>
  <c r="B166" i="5"/>
  <c r="A166" i="5"/>
  <c r="D166" i="5" s="1"/>
  <c r="A165" i="5"/>
  <c r="E164" i="5"/>
  <c r="D164" i="5"/>
  <c r="C164" i="5"/>
  <c r="B164" i="5"/>
  <c r="A164" i="5"/>
  <c r="E163" i="5"/>
  <c r="D163" i="5"/>
  <c r="F163" i="5" s="1"/>
  <c r="G163" i="5" s="1"/>
  <c r="C163" i="5"/>
  <c r="B163" i="5"/>
  <c r="A163" i="5"/>
  <c r="E162" i="5"/>
  <c r="D162" i="5"/>
  <c r="A162" i="5"/>
  <c r="C162" i="5" s="1"/>
  <c r="D161" i="5"/>
  <c r="B161" i="5"/>
  <c r="A161" i="5"/>
  <c r="E160" i="5"/>
  <c r="D160" i="5"/>
  <c r="C160" i="5"/>
  <c r="B160" i="5"/>
  <c r="A160" i="5"/>
  <c r="D159" i="5"/>
  <c r="C159" i="5"/>
  <c r="B159" i="5"/>
  <c r="A159" i="5"/>
  <c r="A158" i="5"/>
  <c r="D157" i="5"/>
  <c r="C157" i="5"/>
  <c r="B157" i="5"/>
  <c r="A157" i="5"/>
  <c r="E156" i="5"/>
  <c r="A156" i="5"/>
  <c r="D155" i="5"/>
  <c r="C155" i="5"/>
  <c r="A155" i="5"/>
  <c r="E155" i="5" s="1"/>
  <c r="E154" i="5"/>
  <c r="A154" i="5"/>
  <c r="B153" i="5"/>
  <c r="A153" i="5"/>
  <c r="E153" i="5" s="1"/>
  <c r="E152" i="5"/>
  <c r="C152" i="5"/>
  <c r="A152" i="5"/>
  <c r="E151" i="5"/>
  <c r="D151" i="5"/>
  <c r="F151" i="5" s="1"/>
  <c r="G151" i="5" s="1"/>
  <c r="C151" i="5"/>
  <c r="B151" i="5"/>
  <c r="A151" i="5"/>
  <c r="E150" i="5"/>
  <c r="D150" i="5"/>
  <c r="B150" i="5"/>
  <c r="A150" i="5"/>
  <c r="D149" i="5"/>
  <c r="A149" i="5"/>
  <c r="E148" i="5"/>
  <c r="A148" i="5"/>
  <c r="G147" i="5"/>
  <c r="D147" i="5"/>
  <c r="F147" i="5" s="1"/>
  <c r="C147" i="5"/>
  <c r="B147" i="5"/>
  <c r="A147" i="5"/>
  <c r="E147" i="5" s="1"/>
  <c r="C146" i="5"/>
  <c r="B146" i="5"/>
  <c r="A146" i="5"/>
  <c r="D146" i="5" s="1"/>
  <c r="D145" i="5"/>
  <c r="A145" i="5"/>
  <c r="E144" i="5"/>
  <c r="C144" i="5"/>
  <c r="A144" i="5"/>
  <c r="A143" i="5"/>
  <c r="B142" i="5"/>
  <c r="A142" i="5"/>
  <c r="C141" i="5"/>
  <c r="B141" i="5"/>
  <c r="A141" i="5"/>
  <c r="C140" i="5"/>
  <c r="A140" i="5"/>
  <c r="B139" i="5"/>
  <c r="A139" i="5"/>
  <c r="F138" i="5"/>
  <c r="G138" i="5" s="1"/>
  <c r="E138" i="5"/>
  <c r="D138" i="5"/>
  <c r="C138" i="5"/>
  <c r="B138" i="5"/>
  <c r="A138" i="5"/>
  <c r="D137" i="5"/>
  <c r="C137" i="5"/>
  <c r="A137" i="5"/>
  <c r="E136" i="5"/>
  <c r="A136" i="5"/>
  <c r="D135" i="5"/>
  <c r="C135" i="5"/>
  <c r="A135" i="5"/>
  <c r="D134" i="5"/>
  <c r="A134" i="5"/>
  <c r="D133" i="5"/>
  <c r="C133" i="5"/>
  <c r="A133" i="5"/>
  <c r="C132" i="5"/>
  <c r="A132" i="5"/>
  <c r="D131" i="5"/>
  <c r="C131" i="5"/>
  <c r="A131" i="5"/>
  <c r="B131" i="5" s="1"/>
  <c r="C130" i="5"/>
  <c r="A130" i="5"/>
  <c r="C129" i="5"/>
  <c r="B129" i="5"/>
  <c r="A129" i="5"/>
  <c r="D129" i="5" s="1"/>
  <c r="E128" i="5"/>
  <c r="C128" i="5"/>
  <c r="A128" i="5"/>
  <c r="C127" i="5"/>
  <c r="A127" i="5"/>
  <c r="E126" i="5"/>
  <c r="D126" i="5"/>
  <c r="C126" i="5"/>
  <c r="B126" i="5"/>
  <c r="A126" i="5"/>
  <c r="D125" i="5"/>
  <c r="A125" i="5"/>
  <c r="B125" i="5" s="1"/>
  <c r="D124" i="5"/>
  <c r="A124" i="5"/>
  <c r="D123" i="5"/>
  <c r="A123" i="5"/>
  <c r="C123" i="5" s="1"/>
  <c r="A122" i="5"/>
  <c r="C121" i="5"/>
  <c r="A121" i="5"/>
  <c r="D121" i="5" s="1"/>
  <c r="E120" i="5"/>
  <c r="C120" i="5"/>
  <c r="A120" i="5"/>
  <c r="C119" i="5"/>
  <c r="A119" i="5"/>
  <c r="E118" i="5"/>
  <c r="A118" i="5"/>
  <c r="B117" i="5"/>
  <c r="A117" i="5"/>
  <c r="A116" i="5"/>
  <c r="B115" i="5"/>
  <c r="A115" i="5"/>
  <c r="E114" i="5"/>
  <c r="D114" i="5"/>
  <c r="C114" i="5"/>
  <c r="B114" i="5"/>
  <c r="A114" i="5"/>
  <c r="D113" i="5"/>
  <c r="C113" i="5"/>
  <c r="B113" i="5"/>
  <c r="A113" i="5"/>
  <c r="E112" i="5"/>
  <c r="A112" i="5"/>
  <c r="D111" i="5"/>
  <c r="C111" i="5"/>
  <c r="B111" i="5"/>
  <c r="A111" i="5"/>
  <c r="A110" i="5"/>
  <c r="D109" i="5"/>
  <c r="C109" i="5"/>
  <c r="B109" i="5"/>
  <c r="A109" i="5"/>
  <c r="C108" i="5"/>
  <c r="A108" i="5"/>
  <c r="D107" i="5"/>
  <c r="A107" i="5"/>
  <c r="B107" i="5" s="1"/>
  <c r="A106" i="5"/>
  <c r="C105" i="5"/>
  <c r="A105" i="5"/>
  <c r="D105" i="5" s="1"/>
  <c r="E104" i="5"/>
  <c r="C104" i="5"/>
  <c r="A104" i="5"/>
  <c r="C103" i="5"/>
  <c r="A103" i="5"/>
  <c r="E102" i="5"/>
  <c r="D102" i="5"/>
  <c r="C102" i="5"/>
  <c r="B102" i="5"/>
  <c r="A102" i="5"/>
  <c r="D101" i="5"/>
  <c r="A101" i="5"/>
  <c r="B101" i="5" s="1"/>
  <c r="D100" i="5"/>
  <c r="A100" i="5"/>
  <c r="D99" i="5"/>
  <c r="A99" i="5"/>
  <c r="C99" i="5" s="1"/>
  <c r="A98" i="5"/>
  <c r="C97" i="5"/>
  <c r="A97" i="5"/>
  <c r="D97" i="5" s="1"/>
  <c r="E96" i="5"/>
  <c r="A96" i="5"/>
  <c r="C95" i="5"/>
  <c r="A95" i="5"/>
  <c r="E94" i="5"/>
  <c r="A94" i="5"/>
  <c r="B93" i="5"/>
  <c r="A93" i="5"/>
  <c r="C92" i="5"/>
  <c r="A92" i="5"/>
  <c r="E92" i="5" s="1"/>
  <c r="B91" i="5"/>
  <c r="A91" i="5"/>
  <c r="E90" i="5"/>
  <c r="D90" i="5"/>
  <c r="C90" i="5"/>
  <c r="B90" i="5"/>
  <c r="A90" i="5"/>
  <c r="D89" i="5"/>
  <c r="C89" i="5"/>
  <c r="B89" i="5"/>
  <c r="A89" i="5"/>
  <c r="A88" i="5"/>
  <c r="D87" i="5"/>
  <c r="C87" i="5"/>
  <c r="B87" i="5"/>
  <c r="A87" i="5"/>
  <c r="A86" i="5"/>
  <c r="D85" i="5"/>
  <c r="C85" i="5"/>
  <c r="B85" i="5"/>
  <c r="A85" i="5"/>
  <c r="C84" i="5"/>
  <c r="A84" i="5"/>
  <c r="D83" i="5"/>
  <c r="A83" i="5"/>
  <c r="B83" i="5" s="1"/>
  <c r="A82" i="5"/>
  <c r="C81" i="5"/>
  <c r="A81" i="5"/>
  <c r="D81" i="5" s="1"/>
  <c r="E80" i="5"/>
  <c r="A80" i="5"/>
  <c r="C79" i="5"/>
  <c r="A79" i="5"/>
  <c r="E78" i="5"/>
  <c r="D78" i="5"/>
  <c r="C78" i="5"/>
  <c r="B78" i="5"/>
  <c r="A78" i="5"/>
  <c r="D77" i="5"/>
  <c r="A77" i="5"/>
  <c r="B77" i="5" s="1"/>
  <c r="A76" i="5"/>
  <c r="D75" i="5"/>
  <c r="A75" i="5"/>
  <c r="C75" i="5" s="1"/>
  <c r="A74" i="5"/>
  <c r="C73" i="5"/>
  <c r="A73" i="5"/>
  <c r="D73" i="5" s="1"/>
  <c r="E72" i="5"/>
  <c r="C72" i="5"/>
  <c r="A72" i="5"/>
  <c r="C71" i="5"/>
  <c r="A71" i="5"/>
  <c r="E71" i="5" s="1"/>
  <c r="E70" i="5"/>
  <c r="D70" i="5"/>
  <c r="F70" i="5" s="1"/>
  <c r="G70" i="5" s="1"/>
  <c r="B70" i="5"/>
  <c r="A70" i="5"/>
  <c r="C70" i="5" s="1"/>
  <c r="D69" i="5"/>
  <c r="C69" i="5"/>
  <c r="B69" i="5"/>
  <c r="A69" i="5"/>
  <c r="E68" i="5"/>
  <c r="C68" i="5"/>
  <c r="A68" i="5"/>
  <c r="B68" i="5" s="1"/>
  <c r="A67" i="5"/>
  <c r="C66" i="5"/>
  <c r="B66" i="5"/>
  <c r="A66" i="5"/>
  <c r="D66" i="5" s="1"/>
  <c r="F65" i="5"/>
  <c r="E65" i="5"/>
  <c r="D65" i="5"/>
  <c r="B65" i="5"/>
  <c r="A65" i="5"/>
  <c r="D64" i="5"/>
  <c r="C64" i="5"/>
  <c r="B64" i="5"/>
  <c r="A64" i="5"/>
  <c r="E63" i="5"/>
  <c r="F63" i="5" s="1"/>
  <c r="G63" i="5" s="1"/>
  <c r="D63" i="5"/>
  <c r="C63" i="5"/>
  <c r="B63" i="5"/>
  <c r="A63" i="5"/>
  <c r="D62" i="5"/>
  <c r="B62" i="5"/>
  <c r="A62" i="5"/>
  <c r="E61" i="5"/>
  <c r="D61" i="5"/>
  <c r="F61" i="5" s="1"/>
  <c r="G61" i="5" s="1"/>
  <c r="B61" i="5"/>
  <c r="A61" i="5"/>
  <c r="C61" i="5" s="1"/>
  <c r="E60" i="5"/>
  <c r="C60" i="5"/>
  <c r="A60" i="5"/>
  <c r="C59" i="5"/>
  <c r="A59" i="5"/>
  <c r="D58" i="5"/>
  <c r="C58" i="5"/>
  <c r="B58" i="5"/>
  <c r="A58" i="5"/>
  <c r="F57" i="5"/>
  <c r="E57" i="5"/>
  <c r="D57" i="5"/>
  <c r="B57" i="5"/>
  <c r="A57" i="5"/>
  <c r="E56" i="5"/>
  <c r="D56" i="5"/>
  <c r="C56" i="5"/>
  <c r="A56" i="5"/>
  <c r="B56" i="5" s="1"/>
  <c r="A55" i="5"/>
  <c r="A54" i="5"/>
  <c r="D53" i="5"/>
  <c r="F53" i="5" s="1"/>
  <c r="G53" i="5" s="1"/>
  <c r="C53" i="5"/>
  <c r="B53" i="5"/>
  <c r="A53" i="5"/>
  <c r="E53" i="5" s="1"/>
  <c r="E52" i="5"/>
  <c r="D52" i="5"/>
  <c r="B52" i="5"/>
  <c r="A52" i="5"/>
  <c r="C52" i="5" s="1"/>
  <c r="E51" i="5"/>
  <c r="D51" i="5"/>
  <c r="F51" i="5" s="1"/>
  <c r="G51" i="5" s="1"/>
  <c r="C51" i="5"/>
  <c r="B51" i="5"/>
  <c r="A51" i="5"/>
  <c r="E50" i="5"/>
  <c r="D50" i="5"/>
  <c r="F50" i="5" s="1"/>
  <c r="G50" i="5" s="1"/>
  <c r="C50" i="5"/>
  <c r="B50" i="5"/>
  <c r="A50" i="5"/>
  <c r="E49" i="5"/>
  <c r="B49" i="5"/>
  <c r="A49" i="5"/>
  <c r="C49" i="5" s="1"/>
  <c r="A48" i="5"/>
  <c r="C47" i="5"/>
  <c r="A47" i="5"/>
  <c r="E47" i="5" s="1"/>
  <c r="E46" i="5"/>
  <c r="D46" i="5"/>
  <c r="F46" i="5" s="1"/>
  <c r="G46" i="5" s="1"/>
  <c r="B46" i="5"/>
  <c r="A46" i="5"/>
  <c r="C46" i="5" s="1"/>
  <c r="D45" i="5"/>
  <c r="C45" i="5"/>
  <c r="B45" i="5"/>
  <c r="A45" i="5"/>
  <c r="E44" i="5"/>
  <c r="C44" i="5"/>
  <c r="A44" i="5"/>
  <c r="B44" i="5" s="1"/>
  <c r="E43" i="5"/>
  <c r="A43" i="5"/>
  <c r="C42" i="5"/>
  <c r="A42" i="5"/>
  <c r="E41" i="5"/>
  <c r="D41" i="5"/>
  <c r="F41" i="5" s="1"/>
  <c r="B41" i="5"/>
  <c r="A41" i="5"/>
  <c r="D40" i="5"/>
  <c r="C40" i="5"/>
  <c r="B40" i="5"/>
  <c r="A40" i="5"/>
  <c r="E39" i="5"/>
  <c r="D39" i="5"/>
  <c r="C39" i="5"/>
  <c r="B39" i="5"/>
  <c r="A39" i="5"/>
  <c r="D38" i="5"/>
  <c r="B38" i="5"/>
  <c r="A38" i="5"/>
  <c r="E37" i="5"/>
  <c r="D37" i="5"/>
  <c r="B37" i="5"/>
  <c r="A37" i="5"/>
  <c r="C37" i="5" s="1"/>
  <c r="E36" i="5"/>
  <c r="C36" i="5"/>
  <c r="A36" i="5"/>
  <c r="A35" i="5"/>
  <c r="D34" i="5"/>
  <c r="C34" i="5"/>
  <c r="B34" i="5"/>
  <c r="A34" i="5"/>
  <c r="C33" i="5"/>
  <c r="A33" i="5"/>
  <c r="E32" i="5"/>
  <c r="D32" i="5"/>
  <c r="F32" i="5" s="1"/>
  <c r="C32" i="5"/>
  <c r="B32" i="5"/>
  <c r="A32" i="5"/>
  <c r="E31" i="5"/>
  <c r="C31" i="5"/>
  <c r="A31" i="5"/>
  <c r="E30" i="5"/>
  <c r="D30" i="5"/>
  <c r="F30" i="5" s="1"/>
  <c r="G30" i="5" s="1"/>
  <c r="C30" i="5"/>
  <c r="B30" i="5"/>
  <c r="A30" i="5"/>
  <c r="E29" i="5"/>
  <c r="C29" i="5"/>
  <c r="A29" i="5"/>
  <c r="E28" i="5"/>
  <c r="D28" i="5"/>
  <c r="F28" i="5" s="1"/>
  <c r="G28" i="5" s="1"/>
  <c r="B28" i="5"/>
  <c r="A28" i="5"/>
  <c r="C28" i="5" s="1"/>
  <c r="A27" i="5"/>
  <c r="D26" i="5"/>
  <c r="F26" i="5" s="1"/>
  <c r="G26" i="5" s="1"/>
  <c r="C26" i="5"/>
  <c r="B26" i="5"/>
  <c r="A26" i="5"/>
  <c r="E26" i="5" s="1"/>
  <c r="A25" i="5"/>
  <c r="D24" i="5"/>
  <c r="B24" i="5"/>
  <c r="A24" i="5"/>
  <c r="E23" i="5"/>
  <c r="C23" i="5"/>
  <c r="A23" i="5"/>
  <c r="D22" i="5"/>
  <c r="C22" i="5"/>
  <c r="B22" i="5"/>
  <c r="A22" i="5"/>
  <c r="A21" i="5"/>
  <c r="E20" i="5"/>
  <c r="D20" i="5"/>
  <c r="F20" i="5" s="1"/>
  <c r="C20" i="5"/>
  <c r="B20" i="5"/>
  <c r="A20" i="5"/>
  <c r="E19" i="5"/>
  <c r="C19" i="5"/>
  <c r="A19" i="5"/>
  <c r="E18" i="5"/>
  <c r="D18" i="5"/>
  <c r="F18" i="5" s="1"/>
  <c r="G18" i="5" s="1"/>
  <c r="C18" i="5"/>
  <c r="B18" i="5"/>
  <c r="A18" i="5"/>
  <c r="E17" i="5"/>
  <c r="A17" i="5"/>
  <c r="E16" i="5"/>
  <c r="D16" i="5"/>
  <c r="F16" i="5" s="1"/>
  <c r="G16" i="5" s="1"/>
  <c r="B16" i="5"/>
  <c r="A16" i="5"/>
  <c r="C16" i="5" s="1"/>
  <c r="C15" i="5"/>
  <c r="A15" i="5"/>
  <c r="D14" i="5"/>
  <c r="F14" i="5" s="1"/>
  <c r="G14" i="5" s="1"/>
  <c r="C14" i="5"/>
  <c r="B14" i="5"/>
  <c r="A14" i="5"/>
  <c r="E14" i="5" s="1"/>
  <c r="E13" i="5"/>
  <c r="C13" i="5"/>
  <c r="A13" i="5"/>
  <c r="D12" i="5"/>
  <c r="B12" i="5"/>
  <c r="A12" i="5"/>
  <c r="E11" i="5"/>
  <c r="C11" i="5"/>
  <c r="A11" i="5"/>
  <c r="D10" i="5"/>
  <c r="C10" i="5"/>
  <c r="B10" i="5"/>
  <c r="A10" i="5"/>
  <c r="E9" i="5"/>
  <c r="C9" i="5"/>
  <c r="A9" i="5"/>
  <c r="F8" i="5"/>
  <c r="E8" i="5"/>
  <c r="D8" i="5"/>
  <c r="C8" i="5"/>
  <c r="B8" i="5"/>
  <c r="A8" i="5"/>
  <c r="C7" i="5"/>
  <c r="A7" i="5"/>
  <c r="E6" i="5"/>
  <c r="D6" i="5"/>
  <c r="F6" i="5" s="1"/>
  <c r="G6" i="5" s="1"/>
  <c r="C6" i="5"/>
  <c r="B6" i="5"/>
  <c r="A6" i="5"/>
  <c r="E5" i="5"/>
  <c r="C5" i="5"/>
  <c r="A5" i="5"/>
  <c r="E4" i="5"/>
  <c r="D4" i="5"/>
  <c r="F4" i="5" s="1"/>
  <c r="G4" i="5" s="1"/>
  <c r="B4" i="5"/>
  <c r="A4" i="5"/>
  <c r="C4" i="5" s="1"/>
  <c r="A3" i="5"/>
  <c r="D2" i="5"/>
  <c r="F2" i="5" s="1"/>
  <c r="G2" i="5" s="1"/>
  <c r="C2" i="5"/>
  <c r="B2" i="5"/>
  <c r="A2" i="5"/>
  <c r="E2" i="5" s="1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F6" i="1"/>
  <c r="E6" i="1"/>
  <c r="B6" i="1"/>
  <c r="F207" i="5" l="1"/>
  <c r="G207" i="5" s="1"/>
  <c r="F229" i="5"/>
  <c r="G229" i="5" s="1"/>
  <c r="F39" i="5"/>
  <c r="G39" i="5" s="1"/>
  <c r="F114" i="5"/>
  <c r="G114" i="5" s="1"/>
  <c r="F126" i="5"/>
  <c r="G126" i="5" s="1"/>
  <c r="F160" i="5"/>
  <c r="G160" i="5" s="1"/>
  <c r="F264" i="5"/>
  <c r="F102" i="5"/>
  <c r="G102" i="5" s="1"/>
  <c r="F182" i="5"/>
  <c r="G182" i="5" s="1"/>
  <c r="F205" i="5"/>
  <c r="G205" i="5" s="1"/>
  <c r="F37" i="5"/>
  <c r="G37" i="5" s="1"/>
  <c r="F258" i="5"/>
  <c r="G258" i="5" s="1"/>
  <c r="G20" i="5"/>
  <c r="B266" i="5"/>
  <c r="C266" i="5"/>
  <c r="D266" i="5"/>
  <c r="F266" i="5" s="1"/>
  <c r="G266" i="5" s="1"/>
  <c r="D3" i="5"/>
  <c r="F3" i="5" s="1"/>
  <c r="G3" i="5" s="1"/>
  <c r="B3" i="5"/>
  <c r="D21" i="5"/>
  <c r="F21" i="5" s="1"/>
  <c r="G21" i="5" s="1"/>
  <c r="B21" i="5"/>
  <c r="D27" i="5"/>
  <c r="F27" i="5" s="1"/>
  <c r="G27" i="5" s="1"/>
  <c r="C27" i="5"/>
  <c r="B27" i="5"/>
  <c r="E35" i="5"/>
  <c r="D35" i="5"/>
  <c r="F35" i="5" s="1"/>
  <c r="G35" i="5" s="1"/>
  <c r="B35" i="5"/>
  <c r="D55" i="5"/>
  <c r="F55" i="5" s="1"/>
  <c r="G55" i="5" s="1"/>
  <c r="B55" i="5"/>
  <c r="E106" i="5"/>
  <c r="D106" i="5"/>
  <c r="F106" i="5" s="1"/>
  <c r="G106" i="5" s="1"/>
  <c r="B106" i="5"/>
  <c r="E110" i="5"/>
  <c r="C110" i="5"/>
  <c r="B110" i="5"/>
  <c r="E122" i="5"/>
  <c r="D122" i="5"/>
  <c r="B122" i="5"/>
  <c r="D165" i="5"/>
  <c r="F165" i="5" s="1"/>
  <c r="G165" i="5" s="1"/>
  <c r="C165" i="5"/>
  <c r="B165" i="5"/>
  <c r="C3" i="5"/>
  <c r="C21" i="5"/>
  <c r="E27" i="5"/>
  <c r="C35" i="5"/>
  <c r="C55" i="5"/>
  <c r="C106" i="5"/>
  <c r="D110" i="5"/>
  <c r="F110" i="5" s="1"/>
  <c r="G110" i="5" s="1"/>
  <c r="C122" i="5"/>
  <c r="E165" i="5"/>
  <c r="D190" i="5"/>
  <c r="B190" i="5"/>
  <c r="E190" i="5"/>
  <c r="C190" i="5"/>
  <c r="E3" i="5"/>
  <c r="D11" i="5"/>
  <c r="F11" i="5" s="1"/>
  <c r="G11" i="5" s="1"/>
  <c r="B11" i="5"/>
  <c r="D19" i="5"/>
  <c r="F19" i="5" s="1"/>
  <c r="G19" i="5" s="1"/>
  <c r="B19" i="5"/>
  <c r="E21" i="5"/>
  <c r="G41" i="5"/>
  <c r="E55" i="5"/>
  <c r="E82" i="5"/>
  <c r="D82" i="5"/>
  <c r="B82" i="5"/>
  <c r="E86" i="5"/>
  <c r="C86" i="5"/>
  <c r="B86" i="5"/>
  <c r="E98" i="5"/>
  <c r="D98" i="5"/>
  <c r="F98" i="5" s="1"/>
  <c r="B98" i="5"/>
  <c r="G98" i="5"/>
  <c r="D118" i="5"/>
  <c r="F118" i="5" s="1"/>
  <c r="G118" i="5" s="1"/>
  <c r="B118" i="5"/>
  <c r="E216" i="5"/>
  <c r="D216" i="5"/>
  <c r="F216" i="5" s="1"/>
  <c r="G216" i="5" s="1"/>
  <c r="C216" i="5"/>
  <c r="B216" i="5"/>
  <c r="B223" i="5"/>
  <c r="C223" i="5"/>
  <c r="E223" i="5"/>
  <c r="D223" i="5"/>
  <c r="F223" i="5" s="1"/>
  <c r="G223" i="5" s="1"/>
  <c r="D33" i="5"/>
  <c r="F33" i="5" s="1"/>
  <c r="G33" i="5" s="1"/>
  <c r="B33" i="5"/>
  <c r="C82" i="5"/>
  <c r="D86" i="5"/>
  <c r="F86" i="5" s="1"/>
  <c r="G86" i="5" s="1"/>
  <c r="C98" i="5"/>
  <c r="C118" i="5"/>
  <c r="E74" i="5"/>
  <c r="D74" i="5"/>
  <c r="F74" i="5" s="1"/>
  <c r="G74" i="5" s="1"/>
  <c r="B74" i="5"/>
  <c r="D94" i="5"/>
  <c r="F94" i="5" s="1"/>
  <c r="G94" i="5" s="1"/>
  <c r="B94" i="5"/>
  <c r="C143" i="5"/>
  <c r="E143" i="5"/>
  <c r="D143" i="5"/>
  <c r="F143" i="5" s="1"/>
  <c r="G143" i="5" s="1"/>
  <c r="B143" i="5"/>
  <c r="C179" i="5"/>
  <c r="E179" i="5"/>
  <c r="D179" i="5"/>
  <c r="F179" i="5" s="1"/>
  <c r="G179" i="5" s="1"/>
  <c r="B179" i="5"/>
  <c r="D213" i="5"/>
  <c r="F213" i="5" s="1"/>
  <c r="G213" i="5" s="1"/>
  <c r="E213" i="5"/>
  <c r="C213" i="5"/>
  <c r="B213" i="5"/>
  <c r="D17" i="5"/>
  <c r="F17" i="5" s="1"/>
  <c r="G17" i="5" s="1"/>
  <c r="B17" i="5"/>
  <c r="B25" i="5"/>
  <c r="E25" i="5"/>
  <c r="D25" i="5"/>
  <c r="F25" i="5" s="1"/>
  <c r="G25" i="5" s="1"/>
  <c r="D9" i="5"/>
  <c r="F9" i="5" s="1"/>
  <c r="G9" i="5" s="1"/>
  <c r="B9" i="5"/>
  <c r="C17" i="5"/>
  <c r="C25" i="5"/>
  <c r="D31" i="5"/>
  <c r="F31" i="5" s="1"/>
  <c r="G31" i="5" s="1"/>
  <c r="B31" i="5"/>
  <c r="E33" i="5"/>
  <c r="C74" i="5"/>
  <c r="F78" i="5"/>
  <c r="G78" i="5" s="1"/>
  <c r="C94" i="5"/>
  <c r="D108" i="5"/>
  <c r="F108" i="5" s="1"/>
  <c r="G108" i="5" s="1"/>
  <c r="E108" i="5"/>
  <c r="B108" i="5"/>
  <c r="C124" i="5"/>
  <c r="E124" i="5"/>
  <c r="F124" i="5" s="1"/>
  <c r="G124" i="5" s="1"/>
  <c r="B124" i="5"/>
  <c r="D128" i="5"/>
  <c r="F128" i="5" s="1"/>
  <c r="G128" i="5" s="1"/>
  <c r="B128" i="5"/>
  <c r="D132" i="5"/>
  <c r="F132" i="5" s="1"/>
  <c r="G132" i="5" s="1"/>
  <c r="E132" i="5"/>
  <c r="B132" i="5"/>
  <c r="C136" i="5"/>
  <c r="B136" i="5"/>
  <c r="D136" i="5"/>
  <c r="F136" i="5" s="1"/>
  <c r="G136" i="5" s="1"/>
  <c r="B170" i="5"/>
  <c r="C170" i="5"/>
  <c r="E170" i="5"/>
  <c r="F170" i="5" s="1"/>
  <c r="G170" i="5" s="1"/>
  <c r="C173" i="5"/>
  <c r="D173" i="5"/>
  <c r="E173" i="5"/>
  <c r="B173" i="5"/>
  <c r="C232" i="5"/>
  <c r="E232" i="5"/>
  <c r="D232" i="5"/>
  <c r="F232" i="5" s="1"/>
  <c r="G232" i="5" s="1"/>
  <c r="B232" i="5"/>
  <c r="D48" i="5"/>
  <c r="F48" i="5" s="1"/>
  <c r="G48" i="5" s="1"/>
  <c r="B48" i="5"/>
  <c r="D67" i="5"/>
  <c r="C67" i="5"/>
  <c r="B67" i="5"/>
  <c r="B158" i="5"/>
  <c r="D158" i="5"/>
  <c r="E158" i="5"/>
  <c r="F158" i="5" s="1"/>
  <c r="G158" i="5" s="1"/>
  <c r="C158" i="5"/>
  <c r="D7" i="5"/>
  <c r="F7" i="5" s="1"/>
  <c r="G7" i="5" s="1"/>
  <c r="B7" i="5"/>
  <c r="D15" i="5"/>
  <c r="F15" i="5" s="1"/>
  <c r="G15" i="5" s="1"/>
  <c r="B15" i="5"/>
  <c r="D42" i="5"/>
  <c r="E42" i="5"/>
  <c r="B42" i="5"/>
  <c r="C48" i="5"/>
  <c r="E59" i="5"/>
  <c r="D59" i="5"/>
  <c r="B59" i="5"/>
  <c r="E67" i="5"/>
  <c r="F67" i="5" s="1"/>
  <c r="G67" i="5" s="1"/>
  <c r="D84" i="5"/>
  <c r="E84" i="5"/>
  <c r="B84" i="5"/>
  <c r="F90" i="5"/>
  <c r="G90" i="5" s="1"/>
  <c r="C100" i="5"/>
  <c r="E100" i="5"/>
  <c r="F100" i="5" s="1"/>
  <c r="G100" i="5" s="1"/>
  <c r="B100" i="5"/>
  <c r="D104" i="5"/>
  <c r="F104" i="5" s="1"/>
  <c r="G104" i="5" s="1"/>
  <c r="B104" i="5"/>
  <c r="C112" i="5"/>
  <c r="B112" i="5"/>
  <c r="D112" i="5"/>
  <c r="F112" i="5" s="1"/>
  <c r="G112" i="5" s="1"/>
  <c r="D120" i="5"/>
  <c r="F120" i="5" s="1"/>
  <c r="G120" i="5" s="1"/>
  <c r="B120" i="5"/>
  <c r="D140" i="5"/>
  <c r="E140" i="5"/>
  <c r="B140" i="5"/>
  <c r="B192" i="5"/>
  <c r="C192" i="5"/>
  <c r="D192" i="5"/>
  <c r="F192" i="5"/>
  <c r="G192" i="5" s="1"/>
  <c r="E48" i="5"/>
  <c r="D5" i="5"/>
  <c r="F5" i="5" s="1"/>
  <c r="G5" i="5" s="1"/>
  <c r="B5" i="5"/>
  <c r="E7" i="5"/>
  <c r="E15" i="5"/>
  <c r="D23" i="5"/>
  <c r="F23" i="5" s="1"/>
  <c r="G23" i="5" s="1"/>
  <c r="B23" i="5"/>
  <c r="G32" i="5"/>
  <c r="G65" i="5"/>
  <c r="C76" i="5"/>
  <c r="E76" i="5"/>
  <c r="B76" i="5"/>
  <c r="D80" i="5"/>
  <c r="F80" i="5" s="1"/>
  <c r="G80" i="5" s="1"/>
  <c r="B80" i="5"/>
  <c r="C88" i="5"/>
  <c r="B88" i="5"/>
  <c r="D88" i="5"/>
  <c r="F88" i="5" s="1"/>
  <c r="G88" i="5" s="1"/>
  <c r="D96" i="5"/>
  <c r="F96" i="5" s="1"/>
  <c r="G96" i="5" s="1"/>
  <c r="B96" i="5"/>
  <c r="D116" i="5"/>
  <c r="B116" i="5"/>
  <c r="F116" i="5"/>
  <c r="G116" i="5" s="1"/>
  <c r="C202" i="5"/>
  <c r="E202" i="5"/>
  <c r="D202" i="5"/>
  <c r="F202" i="5" s="1"/>
  <c r="G202" i="5" s="1"/>
  <c r="B202" i="5"/>
  <c r="B13" i="5"/>
  <c r="D13" i="5"/>
  <c r="F13" i="5" s="1"/>
  <c r="G13" i="5" s="1"/>
  <c r="D43" i="5"/>
  <c r="F43" i="5" s="1"/>
  <c r="G43" i="5" s="1"/>
  <c r="C43" i="5"/>
  <c r="B43" i="5"/>
  <c r="D54" i="5"/>
  <c r="F54" i="5" s="1"/>
  <c r="G54" i="5"/>
  <c r="E54" i="5"/>
  <c r="C54" i="5"/>
  <c r="B54" i="5"/>
  <c r="D76" i="5"/>
  <c r="F76" i="5" s="1"/>
  <c r="G76" i="5" s="1"/>
  <c r="C80" i="5"/>
  <c r="E88" i="5"/>
  <c r="C96" i="5"/>
  <c r="C116" i="5"/>
  <c r="B145" i="5"/>
  <c r="C145" i="5"/>
  <c r="E145" i="5"/>
  <c r="F145" i="5" s="1"/>
  <c r="G145" i="5" s="1"/>
  <c r="C181" i="5"/>
  <c r="B181" i="5"/>
  <c r="E181" i="5"/>
  <c r="F181" i="5" s="1"/>
  <c r="G181" i="5" s="1"/>
  <c r="B203" i="5"/>
  <c r="D203" i="5"/>
  <c r="F203" i="5" s="1"/>
  <c r="G203" i="5" s="1"/>
  <c r="E203" i="5"/>
  <c r="C203" i="5"/>
  <c r="G8" i="5"/>
  <c r="D72" i="5"/>
  <c r="F72" i="5" s="1"/>
  <c r="G72" i="5" s="1"/>
  <c r="B72" i="5"/>
  <c r="D92" i="5"/>
  <c r="F92" i="5" s="1"/>
  <c r="G92" i="5" s="1"/>
  <c r="B92" i="5"/>
  <c r="E116" i="5"/>
  <c r="E130" i="5"/>
  <c r="D130" i="5"/>
  <c r="F130" i="5" s="1"/>
  <c r="G130" i="5" s="1"/>
  <c r="B130" i="5"/>
  <c r="E134" i="5"/>
  <c r="C134" i="5"/>
  <c r="F134" i="5"/>
  <c r="G134" i="5" s="1"/>
  <c r="B134" i="5"/>
  <c r="C41" i="5"/>
  <c r="C65" i="5"/>
  <c r="C148" i="5"/>
  <c r="F217" i="5"/>
  <c r="G217" i="5" s="1"/>
  <c r="E217" i="5"/>
  <c r="B217" i="5"/>
  <c r="B133" i="5"/>
  <c r="B135" i="5"/>
  <c r="B137" i="5"/>
  <c r="D141" i="5"/>
  <c r="F141" i="5" s="1"/>
  <c r="G141" i="5" s="1"/>
  <c r="B148" i="5"/>
  <c r="B155" i="5"/>
  <c r="B162" i="5"/>
  <c r="C177" i="5"/>
  <c r="B188" i="5"/>
  <c r="C200" i="5"/>
  <c r="B29" i="5"/>
  <c r="B36" i="5"/>
  <c r="B47" i="5"/>
  <c r="B60" i="5"/>
  <c r="B71" i="5"/>
  <c r="B73" i="5"/>
  <c r="B75" i="5"/>
  <c r="C77" i="5"/>
  <c r="B79" i="5"/>
  <c r="B81" i="5"/>
  <c r="C83" i="5"/>
  <c r="D93" i="5"/>
  <c r="F93" i="5" s="1"/>
  <c r="G93" i="5" s="1"/>
  <c r="B95" i="5"/>
  <c r="E95" i="5"/>
  <c r="B97" i="5"/>
  <c r="B99" i="5"/>
  <c r="C101" i="5"/>
  <c r="B103" i="5"/>
  <c r="B105" i="5"/>
  <c r="C107" i="5"/>
  <c r="D117" i="5"/>
  <c r="F117" i="5" s="1"/>
  <c r="G117" i="5" s="1"/>
  <c r="B119" i="5"/>
  <c r="E119" i="5"/>
  <c r="B121" i="5"/>
  <c r="B123" i="5"/>
  <c r="C125" i="5"/>
  <c r="B127" i="5"/>
  <c r="D148" i="5"/>
  <c r="F148" i="5" s="1"/>
  <c r="G148" i="5" s="1"/>
  <c r="E10" i="5"/>
  <c r="F10" i="5" s="1"/>
  <c r="G10" i="5" s="1"/>
  <c r="C12" i="5"/>
  <c r="E22" i="5"/>
  <c r="F22" i="5" s="1"/>
  <c r="G22" i="5" s="1"/>
  <c r="C24" i="5"/>
  <c r="D29" i="5"/>
  <c r="F29" i="5" s="1"/>
  <c r="G29" i="5" s="1"/>
  <c r="E34" i="5"/>
  <c r="F34" i="5" s="1"/>
  <c r="G34" i="5" s="1"/>
  <c r="D36" i="5"/>
  <c r="F36" i="5" s="1"/>
  <c r="G36" i="5" s="1"/>
  <c r="C38" i="5"/>
  <c r="F40" i="5"/>
  <c r="G40" i="5" s="1"/>
  <c r="E45" i="5"/>
  <c r="F45" i="5" s="1"/>
  <c r="G45" i="5" s="1"/>
  <c r="D47" i="5"/>
  <c r="F47" i="5" s="1"/>
  <c r="G47" i="5" s="1"/>
  <c r="D49" i="5"/>
  <c r="F56" i="5"/>
  <c r="G56" i="5" s="1"/>
  <c r="E58" i="5"/>
  <c r="F58" i="5" s="1"/>
  <c r="G58" i="5" s="1"/>
  <c r="D60" i="5"/>
  <c r="F60" i="5" s="1"/>
  <c r="G60" i="5" s="1"/>
  <c r="C62" i="5"/>
  <c r="F64" i="5"/>
  <c r="G64" i="5" s="1"/>
  <c r="E69" i="5"/>
  <c r="D71" i="5"/>
  <c r="F71" i="5" s="1"/>
  <c r="G71" i="5" s="1"/>
  <c r="E73" i="5"/>
  <c r="E75" i="5"/>
  <c r="F75" i="5" s="1"/>
  <c r="G75" i="5" s="1"/>
  <c r="E77" i="5"/>
  <c r="F77" i="5" s="1"/>
  <c r="G77" i="5" s="1"/>
  <c r="D79" i="5"/>
  <c r="F79" i="5" s="1"/>
  <c r="G79" i="5" s="1"/>
  <c r="E81" i="5"/>
  <c r="E83" i="5"/>
  <c r="E85" i="5"/>
  <c r="F85" i="5" s="1"/>
  <c r="G85" i="5" s="1"/>
  <c r="E87" i="5"/>
  <c r="E89" i="5"/>
  <c r="F89" i="5" s="1"/>
  <c r="G89" i="5" s="1"/>
  <c r="C91" i="5"/>
  <c r="C93" i="5"/>
  <c r="D95" i="5"/>
  <c r="F95" i="5" s="1"/>
  <c r="G95" i="5" s="1"/>
  <c r="E97" i="5"/>
  <c r="E99" i="5"/>
  <c r="F99" i="5" s="1"/>
  <c r="G99" i="5" s="1"/>
  <c r="E101" i="5"/>
  <c r="F101" i="5" s="1"/>
  <c r="G101" i="5" s="1"/>
  <c r="D103" i="5"/>
  <c r="E105" i="5"/>
  <c r="E107" i="5"/>
  <c r="E109" i="5"/>
  <c r="F109" i="5" s="1"/>
  <c r="G109" i="5" s="1"/>
  <c r="E111" i="5"/>
  <c r="E113" i="5"/>
  <c r="F113" i="5" s="1"/>
  <c r="G113" i="5" s="1"/>
  <c r="C115" i="5"/>
  <c r="C117" i="5"/>
  <c r="D119" i="5"/>
  <c r="F119" i="5" s="1"/>
  <c r="G119" i="5" s="1"/>
  <c r="E121" i="5"/>
  <c r="E123" i="5"/>
  <c r="F123" i="5" s="1"/>
  <c r="G123" i="5" s="1"/>
  <c r="E125" i="5"/>
  <c r="F125" i="5" s="1"/>
  <c r="G125" i="5" s="1"/>
  <c r="D127" i="5"/>
  <c r="E129" i="5"/>
  <c r="E131" i="5"/>
  <c r="F131" i="5" s="1"/>
  <c r="G131" i="5" s="1"/>
  <c r="E133" i="5"/>
  <c r="F133" i="5" s="1"/>
  <c r="G133" i="5" s="1"/>
  <c r="E135" i="5"/>
  <c r="E137" i="5"/>
  <c r="F137" i="5" s="1"/>
  <c r="G137" i="5" s="1"/>
  <c r="C139" i="5"/>
  <c r="E141" i="5"/>
  <c r="B144" i="5"/>
  <c r="D144" i="5"/>
  <c r="F144" i="5" s="1"/>
  <c r="G144" i="5" s="1"/>
  <c r="E146" i="5"/>
  <c r="F146" i="5" s="1"/>
  <c r="G146" i="5" s="1"/>
  <c r="C153" i="5"/>
  <c r="F155" i="5"/>
  <c r="F162" i="5"/>
  <c r="E177" i="5"/>
  <c r="F177" i="5" s="1"/>
  <c r="G177" i="5" s="1"/>
  <c r="B180" i="5"/>
  <c r="C180" i="5"/>
  <c r="E188" i="5"/>
  <c r="F188" i="5" s="1"/>
  <c r="G188" i="5" s="1"/>
  <c r="F193" i="5"/>
  <c r="G193" i="5" s="1"/>
  <c r="E200" i="5"/>
  <c r="F200" i="5" s="1"/>
  <c r="G200" i="5" s="1"/>
  <c r="D221" i="5"/>
  <c r="C221" i="5"/>
  <c r="E230" i="5"/>
  <c r="D230" i="5"/>
  <c r="F230" i="5" s="1"/>
  <c r="G230" i="5" s="1"/>
  <c r="C230" i="5"/>
  <c r="B230" i="5"/>
  <c r="F69" i="5"/>
  <c r="G69" i="5" s="1"/>
  <c r="F73" i="5"/>
  <c r="G73" i="5" s="1"/>
  <c r="E79" i="5"/>
  <c r="F81" i="5"/>
  <c r="G81" i="5" s="1"/>
  <c r="F83" i="5"/>
  <c r="G83" i="5" s="1"/>
  <c r="F87" i="5"/>
  <c r="G87" i="5" s="1"/>
  <c r="D91" i="5"/>
  <c r="F91" i="5" s="1"/>
  <c r="G91" i="5" s="1"/>
  <c r="E93" i="5"/>
  <c r="F97" i="5"/>
  <c r="G97" i="5" s="1"/>
  <c r="E103" i="5"/>
  <c r="F103" i="5" s="1"/>
  <c r="G103" i="5" s="1"/>
  <c r="F105" i="5"/>
  <c r="F107" i="5"/>
  <c r="G107" i="5" s="1"/>
  <c r="F111" i="5"/>
  <c r="G111" i="5" s="1"/>
  <c r="D115" i="5"/>
  <c r="F115" i="5" s="1"/>
  <c r="G115" i="5" s="1"/>
  <c r="E117" i="5"/>
  <c r="F121" i="5"/>
  <c r="E127" i="5"/>
  <c r="F129" i="5"/>
  <c r="F135" i="5"/>
  <c r="G135" i="5" s="1"/>
  <c r="D139" i="5"/>
  <c r="F139" i="5" s="1"/>
  <c r="G139" i="5" s="1"/>
  <c r="C149" i="5"/>
  <c r="D153" i="5"/>
  <c r="F153" i="5" s="1"/>
  <c r="G153" i="5" s="1"/>
  <c r="G155" i="5"/>
  <c r="G162" i="5"/>
  <c r="B169" i="5"/>
  <c r="D169" i="5"/>
  <c r="F169" i="5" s="1"/>
  <c r="G169" i="5" s="1"/>
  <c r="C196" i="5"/>
  <c r="B196" i="5"/>
  <c r="B221" i="5"/>
  <c r="E12" i="5"/>
  <c r="F12" i="5" s="1"/>
  <c r="G12" i="5" s="1"/>
  <c r="E24" i="5"/>
  <c r="F24" i="5" s="1"/>
  <c r="G24" i="5" s="1"/>
  <c r="E38" i="5"/>
  <c r="F38" i="5" s="1"/>
  <c r="G38" i="5" s="1"/>
  <c r="F49" i="5"/>
  <c r="G49" i="5" s="1"/>
  <c r="G57" i="5"/>
  <c r="E62" i="5"/>
  <c r="F62" i="5" s="1"/>
  <c r="G62" i="5" s="1"/>
  <c r="E91" i="5"/>
  <c r="G105" i="5"/>
  <c r="E115" i="5"/>
  <c r="G121" i="5"/>
  <c r="G129" i="5"/>
  <c r="E139" i="5"/>
  <c r="D142" i="5"/>
  <c r="F142" i="5" s="1"/>
  <c r="G142" i="5" s="1"/>
  <c r="C142" i="5"/>
  <c r="B149" i="5"/>
  <c r="B156" i="5"/>
  <c r="C156" i="5"/>
  <c r="D156" i="5"/>
  <c r="F156" i="5" s="1"/>
  <c r="G156" i="5" s="1"/>
  <c r="C167" i="5"/>
  <c r="D167" i="5"/>
  <c r="F167" i="5" s="1"/>
  <c r="G167" i="5" s="1"/>
  <c r="C169" i="5"/>
  <c r="D178" i="5"/>
  <c r="F178" i="5" s="1"/>
  <c r="G178" i="5" s="1"/>
  <c r="C178" i="5"/>
  <c r="F191" i="5"/>
  <c r="G191" i="5" s="1"/>
  <c r="D196" i="5"/>
  <c r="F196" i="5" s="1"/>
  <c r="G196" i="5" s="1"/>
  <c r="E221" i="5"/>
  <c r="E224" i="5"/>
  <c r="D224" i="5"/>
  <c r="F224" i="5" s="1"/>
  <c r="G224" i="5" s="1"/>
  <c r="C224" i="5"/>
  <c r="B215" i="5"/>
  <c r="E215" i="5"/>
  <c r="D215" i="5"/>
  <c r="F215" i="5" s="1"/>
  <c r="G215" i="5" s="1"/>
  <c r="C215" i="5"/>
  <c r="C247" i="5"/>
  <c r="B247" i="5"/>
  <c r="D247" i="5"/>
  <c r="F247" i="5" s="1"/>
  <c r="G247" i="5" s="1"/>
  <c r="E247" i="5"/>
  <c r="E40" i="5"/>
  <c r="D44" i="5"/>
  <c r="F44" i="5" s="1"/>
  <c r="G44" i="5" s="1"/>
  <c r="C57" i="5"/>
  <c r="E64" i="5"/>
  <c r="E66" i="5"/>
  <c r="F66" i="5" s="1"/>
  <c r="G66" i="5" s="1"/>
  <c r="D68" i="5"/>
  <c r="F68" i="5" s="1"/>
  <c r="G68" i="5" s="1"/>
  <c r="E142" i="5"/>
  <c r="E149" i="5"/>
  <c r="F149" i="5" s="1"/>
  <c r="G149" i="5" s="1"/>
  <c r="D154" i="5"/>
  <c r="F154" i="5" s="1"/>
  <c r="G154" i="5" s="1"/>
  <c r="C154" i="5"/>
  <c r="B154" i="5"/>
  <c r="E159" i="5"/>
  <c r="F159" i="5"/>
  <c r="G159" i="5" s="1"/>
  <c r="C161" i="5"/>
  <c r="E161" i="5"/>
  <c r="F161" i="5" s="1"/>
  <c r="G161" i="5" s="1"/>
  <c r="E167" i="5"/>
  <c r="D176" i="5"/>
  <c r="F176" i="5" s="1"/>
  <c r="G176" i="5" s="1"/>
  <c r="E178" i="5"/>
  <c r="G180" i="5"/>
  <c r="E183" i="5"/>
  <c r="F183" i="5" s="1"/>
  <c r="G183" i="5" s="1"/>
  <c r="C183" i="5"/>
  <c r="C185" i="5"/>
  <c r="G185" i="5"/>
  <c r="B185" i="5"/>
  <c r="D194" i="5"/>
  <c r="F194" i="5" s="1"/>
  <c r="G194" i="5" s="1"/>
  <c r="F52" i="5"/>
  <c r="G52" i="5" s="1"/>
  <c r="F150" i="5"/>
  <c r="G150" i="5" s="1"/>
  <c r="C150" i="5"/>
  <c r="D152" i="5"/>
  <c r="F152" i="5" s="1"/>
  <c r="G152" i="5" s="1"/>
  <c r="B152" i="5"/>
  <c r="E157" i="5"/>
  <c r="F157" i="5" s="1"/>
  <c r="G157" i="5" s="1"/>
  <c r="C255" i="5"/>
  <c r="E255" i="5"/>
  <c r="D255" i="5"/>
  <c r="B255" i="5"/>
  <c r="F164" i="5"/>
  <c r="G164" i="5" s="1"/>
  <c r="G172" i="5"/>
  <c r="F174" i="5"/>
  <c r="G174" i="5" s="1"/>
  <c r="F204" i="5"/>
  <c r="G204" i="5" s="1"/>
  <c r="E206" i="5"/>
  <c r="F206" i="5"/>
  <c r="G206" i="5" s="1"/>
  <c r="C208" i="5"/>
  <c r="E208" i="5"/>
  <c r="F208" i="5" s="1"/>
  <c r="G208" i="5" s="1"/>
  <c r="B212" i="5"/>
  <c r="F212" i="5"/>
  <c r="G212" i="5" s="1"/>
  <c r="E212" i="5"/>
  <c r="D228" i="5"/>
  <c r="F228" i="5" s="1"/>
  <c r="G228" i="5" s="1"/>
  <c r="C228" i="5"/>
  <c r="E231" i="5"/>
  <c r="B241" i="5"/>
  <c r="E241" i="5"/>
  <c r="F241" i="5" s="1"/>
  <c r="G241" i="5" s="1"/>
  <c r="C250" i="5"/>
  <c r="E250" i="5"/>
  <c r="F250" i="5" s="1"/>
  <c r="G250" i="5" s="1"/>
  <c r="B263" i="5"/>
  <c r="C263" i="5"/>
  <c r="D263" i="5"/>
  <c r="F263" i="5" s="1"/>
  <c r="G263" i="5" s="1"/>
  <c r="B269" i="5"/>
  <c r="G269" i="5"/>
  <c r="C269" i="5"/>
  <c r="F269" i="5"/>
  <c r="D269" i="5"/>
  <c r="D226" i="5"/>
  <c r="F226" i="5" s="1"/>
  <c r="G226" i="5" s="1"/>
  <c r="C226" i="5"/>
  <c r="D248" i="5"/>
  <c r="F248" i="5" s="1"/>
  <c r="G248" i="5" s="1"/>
  <c r="E248" i="5"/>
  <c r="F231" i="5"/>
  <c r="G231" i="5" s="1"/>
  <c r="B239" i="5"/>
  <c r="G239" i="5"/>
  <c r="C239" i="5"/>
  <c r="E239" i="5"/>
  <c r="D239" i="5"/>
  <c r="F239" i="5" s="1"/>
  <c r="E245" i="5"/>
  <c r="D245" i="5"/>
  <c r="B245" i="5"/>
  <c r="C245" i="5"/>
  <c r="B248" i="5"/>
  <c r="D267" i="5"/>
  <c r="F267" i="5" s="1"/>
  <c r="G267" i="5" s="1"/>
  <c r="B267" i="5"/>
  <c r="E267" i="5"/>
  <c r="C267" i="5"/>
  <c r="D339" i="5"/>
  <c r="B339" i="5"/>
  <c r="G339" i="5"/>
  <c r="F339" i="5"/>
  <c r="E339" i="5"/>
  <c r="C339" i="5"/>
  <c r="F211" i="5"/>
  <c r="G211" i="5" s="1"/>
  <c r="C220" i="5"/>
  <c r="E220" i="5"/>
  <c r="F220" i="5" s="1"/>
  <c r="G220" i="5" s="1"/>
  <c r="D237" i="5"/>
  <c r="C237" i="5"/>
  <c r="E237" i="5"/>
  <c r="B237" i="5"/>
  <c r="B227" i="5"/>
  <c r="D227" i="5"/>
  <c r="F227" i="5" s="1"/>
  <c r="G227" i="5" s="1"/>
  <c r="F252" i="5"/>
  <c r="G252" i="5" s="1"/>
  <c r="B252" i="5"/>
  <c r="C274" i="5"/>
  <c r="D274" i="5"/>
  <c r="G274" i="5"/>
  <c r="F274" i="5"/>
  <c r="B274" i="5"/>
  <c r="B193" i="5"/>
  <c r="F199" i="5"/>
  <c r="G199" i="5" s="1"/>
  <c r="B199" i="5"/>
  <c r="C211" i="5"/>
  <c r="E218" i="5"/>
  <c r="D218" i="5"/>
  <c r="F218" i="5" s="1"/>
  <c r="G218" i="5" s="1"/>
  <c r="D220" i="5"/>
  <c r="C227" i="5"/>
  <c r="C252" i="5"/>
  <c r="E274" i="5"/>
  <c r="F243" i="5"/>
  <c r="G243" i="5" s="1"/>
  <c r="D259" i="5"/>
  <c r="F259" i="5" s="1"/>
  <c r="G259" i="5" s="1"/>
  <c r="B257" i="5"/>
  <c r="F257" i="5"/>
  <c r="G257" i="5" s="1"/>
  <c r="F307" i="5"/>
  <c r="G307" i="5"/>
  <c r="E307" i="5"/>
  <c r="C307" i="5"/>
  <c r="B307" i="5"/>
  <c r="B317" i="5"/>
  <c r="G317" i="5"/>
  <c r="F317" i="5"/>
  <c r="D317" i="5"/>
  <c r="C317" i="5"/>
  <c r="E308" i="5"/>
  <c r="B308" i="5"/>
  <c r="G308" i="5"/>
  <c r="F308" i="5"/>
  <c r="D308" i="5"/>
  <c r="F233" i="5"/>
  <c r="G233" i="5" s="1"/>
  <c r="C244" i="5"/>
  <c r="G244" i="5"/>
  <c r="C260" i="5"/>
  <c r="B260" i="5"/>
  <c r="E272" i="5"/>
  <c r="C272" i="5"/>
  <c r="C280" i="5"/>
  <c r="F280" i="5"/>
  <c r="D280" i="5"/>
  <c r="B280" i="5"/>
  <c r="D309" i="5"/>
  <c r="G309" i="5"/>
  <c r="F309" i="5"/>
  <c r="C309" i="5"/>
  <c r="B309" i="5"/>
  <c r="F313" i="5"/>
  <c r="G313" i="5"/>
  <c r="E313" i="5"/>
  <c r="C313" i="5"/>
  <c r="B313" i="5"/>
  <c r="B233" i="5"/>
  <c r="D235" i="5"/>
  <c r="F235" i="5" s="1"/>
  <c r="G235" i="5" s="1"/>
  <c r="B244" i="5"/>
  <c r="D260" i="5"/>
  <c r="F260" i="5" s="1"/>
  <c r="G260" i="5" s="1"/>
  <c r="F265" i="5"/>
  <c r="G265" i="5"/>
  <c r="B265" i="5"/>
  <c r="B272" i="5"/>
  <c r="E280" i="5"/>
  <c r="E309" i="5"/>
  <c r="D313" i="5"/>
  <c r="D272" i="5"/>
  <c r="G280" i="5"/>
  <c r="C310" i="5"/>
  <c r="B310" i="5"/>
  <c r="G310" i="5"/>
  <c r="F310" i="5"/>
  <c r="E310" i="5"/>
  <c r="E314" i="5"/>
  <c r="B314" i="5"/>
  <c r="G314" i="5"/>
  <c r="F314" i="5"/>
  <c r="D314" i="5"/>
  <c r="C256" i="5"/>
  <c r="E256" i="5"/>
  <c r="D261" i="5"/>
  <c r="C261" i="5"/>
  <c r="G272" i="5"/>
  <c r="E278" i="5"/>
  <c r="C278" i="5"/>
  <c r="B278" i="5"/>
  <c r="B311" i="5"/>
  <c r="G311" i="5"/>
  <c r="F311" i="5"/>
  <c r="D311" i="5"/>
  <c r="C311" i="5"/>
  <c r="D315" i="5"/>
  <c r="G315" i="5"/>
  <c r="F315" i="5"/>
  <c r="C315" i="5"/>
  <c r="B315" i="5"/>
  <c r="E340" i="5"/>
  <c r="D340" i="5"/>
  <c r="C340" i="5"/>
  <c r="F340" i="5"/>
  <c r="B340" i="5"/>
  <c r="C236" i="5"/>
  <c r="B236" i="5"/>
  <c r="D256" i="5"/>
  <c r="F256" i="5" s="1"/>
  <c r="G256" i="5" s="1"/>
  <c r="E261" i="5"/>
  <c r="F278" i="5"/>
  <c r="C316" i="5"/>
  <c r="B316" i="5"/>
  <c r="G316" i="5"/>
  <c r="F316" i="5"/>
  <c r="E316" i="5"/>
  <c r="D351" i="5"/>
  <c r="B351" i="5"/>
  <c r="G284" i="5"/>
  <c r="G286" i="5"/>
  <c r="G290" i="5"/>
  <c r="G292" i="5"/>
  <c r="C320" i="5"/>
  <c r="C326" i="5"/>
  <c r="G341" i="5"/>
  <c r="C351" i="5"/>
  <c r="G296" i="5"/>
  <c r="D320" i="5"/>
  <c r="E322" i="5"/>
  <c r="D326" i="5"/>
  <c r="E328" i="5"/>
  <c r="E351" i="5"/>
  <c r="F320" i="5"/>
  <c r="F322" i="5"/>
  <c r="F326" i="5"/>
  <c r="F328" i="5"/>
  <c r="D335" i="5"/>
  <c r="C335" i="5"/>
  <c r="B335" i="5"/>
  <c r="F351" i="5"/>
  <c r="E243" i="5"/>
  <c r="F254" i="5"/>
  <c r="G254" i="5" s="1"/>
  <c r="E271" i="5"/>
  <c r="F273" i="5"/>
  <c r="F275" i="5"/>
  <c r="E277" i="5"/>
  <c r="F279" i="5"/>
  <c r="F281" i="5"/>
  <c r="D283" i="5"/>
  <c r="E285" i="5"/>
  <c r="E287" i="5"/>
  <c r="D289" i="5"/>
  <c r="E291" i="5"/>
  <c r="E293" i="5"/>
  <c r="C295" i="5"/>
  <c r="C297" i="5"/>
  <c r="D299" i="5"/>
  <c r="C301" i="5"/>
  <c r="C303" i="5"/>
  <c r="F333" i="5"/>
  <c r="E333" i="5"/>
  <c r="D333" i="5"/>
  <c r="F335" i="5"/>
  <c r="G352" i="5"/>
  <c r="E352" i="5"/>
  <c r="D352" i="5"/>
  <c r="C352" i="5"/>
  <c r="G240" i="5"/>
  <c r="G264" i="5"/>
  <c r="G271" i="5"/>
  <c r="G273" i="5"/>
  <c r="G275" i="5"/>
  <c r="G277" i="5"/>
  <c r="G279" i="5"/>
  <c r="G281" i="5"/>
  <c r="E283" i="5"/>
  <c r="F285" i="5"/>
  <c r="F287" i="5"/>
  <c r="E289" i="5"/>
  <c r="F291" i="5"/>
  <c r="F293" i="5"/>
  <c r="D295" i="5"/>
  <c r="E297" i="5"/>
  <c r="E299" i="5"/>
  <c r="D301" i="5"/>
  <c r="E303" i="5"/>
  <c r="E305" i="5"/>
  <c r="B319" i="5"/>
  <c r="B321" i="5"/>
  <c r="C323" i="5"/>
  <c r="B325" i="5"/>
  <c r="B327" i="5"/>
  <c r="C329" i="5"/>
  <c r="G331" i="5"/>
  <c r="F331" i="5"/>
  <c r="B333" i="5"/>
  <c r="G335" i="5"/>
  <c r="G338" i="5"/>
  <c r="F338" i="5"/>
  <c r="E338" i="5"/>
  <c r="F347" i="5"/>
  <c r="D347" i="5"/>
  <c r="C347" i="5"/>
  <c r="B347" i="5"/>
  <c r="B352" i="5"/>
  <c r="F359" i="5"/>
  <c r="E359" i="5"/>
  <c r="D359" i="5"/>
  <c r="C359" i="5"/>
  <c r="B359" i="5"/>
  <c r="G364" i="5"/>
  <c r="F364" i="5"/>
  <c r="E364" i="5"/>
  <c r="D364" i="5"/>
  <c r="C364" i="5"/>
  <c r="F345" i="5"/>
  <c r="E345" i="5"/>
  <c r="D345" i="5"/>
  <c r="G350" i="5"/>
  <c r="F350" i="5"/>
  <c r="E350" i="5"/>
  <c r="G362" i="5"/>
  <c r="F362" i="5"/>
  <c r="E362" i="5"/>
  <c r="B364" i="5"/>
  <c r="B284" i="5"/>
  <c r="B286" i="5"/>
  <c r="B290" i="5"/>
  <c r="B292" i="5"/>
  <c r="C341" i="5"/>
  <c r="G343" i="5"/>
  <c r="F343" i="5"/>
  <c r="B345" i="5"/>
  <c r="B350" i="5"/>
  <c r="G355" i="5"/>
  <c r="F355" i="5"/>
  <c r="G357" i="5"/>
  <c r="F357" i="5"/>
  <c r="E357" i="5"/>
  <c r="D357" i="5"/>
  <c r="B362" i="5"/>
  <c r="F365" i="5"/>
  <c r="E365" i="5"/>
  <c r="D365" i="5"/>
  <c r="B365" i="5"/>
  <c r="E341" i="5"/>
  <c r="G345" i="5"/>
  <c r="D350" i="5"/>
  <c r="C355" i="5"/>
  <c r="C357" i="5"/>
  <c r="B337" i="5"/>
  <c r="B349" i="5"/>
  <c r="F127" i="5" l="1"/>
  <c r="G127" i="5" s="1"/>
  <c r="F122" i="5"/>
  <c r="G122" i="5" s="1"/>
  <c r="F173" i="5"/>
  <c r="G173" i="5" s="1"/>
  <c r="F190" i="5"/>
  <c r="G190" i="5" s="1"/>
  <c r="F245" i="5"/>
  <c r="G245" i="5" s="1"/>
  <c r="F261" i="5"/>
  <c r="G261" i="5" s="1"/>
  <c r="F237" i="5"/>
  <c r="G237" i="5" s="1"/>
  <c r="F42" i="5"/>
  <c r="G42" i="5" s="1"/>
  <c r="F255" i="5"/>
  <c r="G255" i="5" s="1"/>
  <c r="F84" i="5"/>
  <c r="G84" i="5" s="1"/>
  <c r="F221" i="5"/>
  <c r="G221" i="5" s="1"/>
  <c r="F140" i="5"/>
  <c r="G140" i="5" s="1"/>
  <c r="F59" i="5"/>
  <c r="G59" i="5" s="1"/>
  <c r="F82" i="5"/>
  <c r="G82" i="5" s="1"/>
  <c r="C6" i="1" l="1"/>
  <c r="D6" i="1"/>
</calcChain>
</file>

<file path=xl/sharedStrings.xml><?xml version="1.0" encoding="utf-8"?>
<sst xmlns="http://schemas.openxmlformats.org/spreadsheetml/2006/main" count="1255" uniqueCount="565">
  <si>
    <t>STORE MANAGEMENT DASHBOARD
IN-CHARGE: MR. DINESH NAHIRE</t>
  </si>
  <si>
    <t>TOTAL ITEMS</t>
  </si>
  <si>
    <t>LOW STOCK</t>
  </si>
  <si>
    <t>OUT OF STOCK</t>
  </si>
  <si>
    <t>TOTAL QTY IN</t>
  </si>
  <si>
    <t>TOTAL QTY OUT</t>
  </si>
  <si>
    <t>Categories</t>
  </si>
  <si>
    <t>HelpersIN</t>
  </si>
  <si>
    <t>HelpersOUT</t>
  </si>
  <si>
    <t>Electrical</t>
  </si>
  <si>
    <t>Mr. Suhas Bachhav</t>
  </si>
  <si>
    <t>Mr. Dipak Choudhri</t>
  </si>
  <si>
    <t>Mechanical</t>
  </si>
  <si>
    <t>Ms. Kaveri Gangurde</t>
  </si>
  <si>
    <t>Mr. Kunal</t>
  </si>
  <si>
    <t>Plumbing</t>
  </si>
  <si>
    <t>Electronics</t>
  </si>
  <si>
    <t>Item Code</t>
  </si>
  <si>
    <t>Item Name</t>
  </si>
  <si>
    <t>Category</t>
  </si>
  <si>
    <t>Minimum Stock</t>
  </si>
  <si>
    <t>E-001</t>
  </si>
  <si>
    <t>CWX-VALVE- 1 inch</t>
  </si>
  <si>
    <t>E-002</t>
  </si>
  <si>
    <t>CWX -VALVE-0.5inch</t>
  </si>
  <si>
    <t>E-003</t>
  </si>
  <si>
    <t>STRIKE LOCK</t>
  </si>
  <si>
    <t>E-004</t>
  </si>
  <si>
    <t>COIN ACCEPTER</t>
  </si>
  <si>
    <t>E-005</t>
  </si>
  <si>
    <t>PIR SENSOR</t>
  </si>
  <si>
    <t>E-006</t>
  </si>
  <si>
    <t>LDR SENSOR</t>
  </si>
  <si>
    <t>E-007</t>
  </si>
  <si>
    <t>PUSH BOTTON</t>
  </si>
  <si>
    <t>E-008</t>
  </si>
  <si>
    <t>LIMIT SWITCH</t>
  </si>
  <si>
    <t>E-009</t>
  </si>
  <si>
    <t>FAN ORPAT</t>
  </si>
  <si>
    <t>E-010</t>
  </si>
  <si>
    <t>ELCB+MCB+32AMP</t>
  </si>
  <si>
    <t>E-011</t>
  </si>
  <si>
    <t>SMPS 12V</t>
  </si>
  <si>
    <t>E-012</t>
  </si>
  <si>
    <t>BATTERY 12V 26A</t>
  </si>
  <si>
    <t>E-013</t>
  </si>
  <si>
    <t>UPS V GUARD</t>
  </si>
  <si>
    <t>E-014</t>
  </si>
  <si>
    <t>BAZZER</t>
  </si>
  <si>
    <t>E-015</t>
  </si>
  <si>
    <t>LIMIT SWITCH SMALL</t>
  </si>
  <si>
    <t>E-016</t>
  </si>
  <si>
    <t>PRESSURE PUMP</t>
  </si>
  <si>
    <t>E-017</t>
  </si>
  <si>
    <t>LIGHT 3W (ROUND)</t>
  </si>
  <si>
    <t>E-018</t>
  </si>
  <si>
    <t>LIGHT 2W GREEN</t>
  </si>
  <si>
    <t>E-019</t>
  </si>
  <si>
    <t>LIGHT 2W RED</t>
  </si>
  <si>
    <t>E-020</t>
  </si>
  <si>
    <t>TOP PLUG 6 A</t>
  </si>
  <si>
    <t>E-021</t>
  </si>
  <si>
    <t>TOP PLUG 16A</t>
  </si>
  <si>
    <t>E-022</t>
  </si>
  <si>
    <t>SWITCH 6A</t>
  </si>
  <si>
    <t>E-023</t>
  </si>
  <si>
    <t>SOCKET 6A 3PIN</t>
  </si>
  <si>
    <t>E-024</t>
  </si>
  <si>
    <t>BOX 3M WITH PLATE</t>
  </si>
  <si>
    <t>E-025</t>
  </si>
  <si>
    <t>GSM ANTENA</t>
  </si>
  <si>
    <t>E-026</t>
  </si>
  <si>
    <t>PCB</t>
  </si>
  <si>
    <t>E-027</t>
  </si>
  <si>
    <t>LCD</t>
  </si>
  <si>
    <t>E-028</t>
  </si>
  <si>
    <t>EARTHING PATE</t>
  </si>
  <si>
    <t>E-029</t>
  </si>
  <si>
    <t>EARTING WIRE</t>
  </si>
  <si>
    <t>E-030</t>
  </si>
  <si>
    <t>EARTHING POWDER</t>
  </si>
  <si>
    <t>E-031</t>
  </si>
  <si>
    <t>MCB 4POLE 20A</t>
  </si>
  <si>
    <t>E-032</t>
  </si>
  <si>
    <t>MCB 4 POLE 32A</t>
  </si>
  <si>
    <t>E-033</t>
  </si>
  <si>
    <t>MCB 3POLE 20A</t>
  </si>
  <si>
    <t>E-034</t>
  </si>
  <si>
    <t>MCB 1 POLE 16A</t>
  </si>
  <si>
    <t>E-035</t>
  </si>
  <si>
    <t>MCB 1 POLE 10A</t>
  </si>
  <si>
    <t>E-036</t>
  </si>
  <si>
    <t>MCB 3POLE 16A</t>
  </si>
  <si>
    <t>E-037</t>
  </si>
  <si>
    <t>MCB 1 POLE 32A</t>
  </si>
  <si>
    <t>E-038</t>
  </si>
  <si>
    <t>WATER LEVEL SENSOR</t>
  </si>
  <si>
    <t>E-039</t>
  </si>
  <si>
    <t>WIRE 0..5 YELLOW</t>
  </si>
  <si>
    <t>E-040</t>
  </si>
  <si>
    <t>WIRE 0.5 BLUE</t>
  </si>
  <si>
    <t>E-041</t>
  </si>
  <si>
    <t>WIRE 0.5 BLACK</t>
  </si>
  <si>
    <t>E-042</t>
  </si>
  <si>
    <t>WIRE 0.5 GAREY</t>
  </si>
  <si>
    <t>E-043</t>
  </si>
  <si>
    <t>WIRE 0.5 GREEN</t>
  </si>
  <si>
    <t>E-044</t>
  </si>
  <si>
    <t>WIRE 0.5 ORANGE</t>
  </si>
  <si>
    <t>E-045</t>
  </si>
  <si>
    <t>WIRE 0.5 RED</t>
  </si>
  <si>
    <t>E-046</t>
  </si>
  <si>
    <t>WIRE 0.5 WHIT</t>
  </si>
  <si>
    <t>E-047</t>
  </si>
  <si>
    <t>WIRE 2 COR 736 BLACK</t>
  </si>
  <si>
    <t>E-048</t>
  </si>
  <si>
    <t>WIRE 0.5 BROWN</t>
  </si>
  <si>
    <t>E-049</t>
  </si>
  <si>
    <t>WIRE 3COR 7-36 SHI GARY</t>
  </si>
  <si>
    <t>E-050</t>
  </si>
  <si>
    <t>WIRE 2COR 0.5</t>
  </si>
  <si>
    <t>E-051</t>
  </si>
  <si>
    <t>WIRE 1MM BULE</t>
  </si>
  <si>
    <t>E-052</t>
  </si>
  <si>
    <t>WIRE 1 MM 3 COR</t>
  </si>
  <si>
    <t>E-053</t>
  </si>
  <si>
    <t>WIRE 3 COR 7-36 BLACK</t>
  </si>
  <si>
    <t>E-054</t>
  </si>
  <si>
    <t>CHANEEL PATTI</t>
  </si>
  <si>
    <t>E-055</t>
  </si>
  <si>
    <t>BAZZER LAMP</t>
  </si>
  <si>
    <t>E-056</t>
  </si>
  <si>
    <t>CABLE GALAN</t>
  </si>
  <si>
    <t>E-057</t>
  </si>
  <si>
    <t>CAMERA 4G</t>
  </si>
  <si>
    <t>E-058</t>
  </si>
  <si>
    <t>CAMERA HOME</t>
  </si>
  <si>
    <t>E-059</t>
  </si>
  <si>
    <t>HMI</t>
  </si>
  <si>
    <t>E-060</t>
  </si>
  <si>
    <t>HARNESS PUSH BOTTON</t>
  </si>
  <si>
    <t>E-061</t>
  </si>
  <si>
    <t>LUG</t>
  </si>
  <si>
    <t>E-062</t>
  </si>
  <si>
    <t>LACQUR ALA 100</t>
  </si>
  <si>
    <t>E-063</t>
  </si>
  <si>
    <t>MCB 16A DP</t>
  </si>
  <si>
    <t>E-064</t>
  </si>
  <si>
    <t>MCB BOX PVC 4P</t>
  </si>
  <si>
    <t>E-065</t>
  </si>
  <si>
    <t>POWER SUPPLY</t>
  </si>
  <si>
    <t>E-066</t>
  </si>
  <si>
    <t>PVC CONNECTOR 2X3</t>
  </si>
  <si>
    <t>E-067</t>
  </si>
  <si>
    <t>PVC PIPE 20MM BALCK</t>
  </si>
  <si>
    <t>E-068</t>
  </si>
  <si>
    <t>RELAY 12V DC</t>
  </si>
  <si>
    <t>E-069</t>
  </si>
  <si>
    <t>RELAY AC</t>
  </si>
  <si>
    <t>E-070</t>
  </si>
  <si>
    <t>SOLENOID</t>
  </si>
  <si>
    <t>E-071</t>
  </si>
  <si>
    <t>CABLE TRAY 15X15 PVC</t>
  </si>
  <si>
    <t>E-072</t>
  </si>
  <si>
    <t>EMERGENCY PUSH BOTTON</t>
  </si>
  <si>
    <t>E-073</t>
  </si>
  <si>
    <t>EMERGNCY PUSH BOTTON COVER</t>
  </si>
  <si>
    <t>E-074</t>
  </si>
  <si>
    <t>CC TV CAMERA</t>
  </si>
  <si>
    <t>E-075</t>
  </si>
  <si>
    <t>DVR SET</t>
  </si>
  <si>
    <t>E-076</t>
  </si>
  <si>
    <t>SOLAR PANEL</t>
  </si>
  <si>
    <t>M-001</t>
  </si>
  <si>
    <t>SS SHEET 3000X1500 1.2 MM</t>
  </si>
  <si>
    <t>M-002</t>
  </si>
  <si>
    <t>SS SHEET 316 1500X2500 1.2MM</t>
  </si>
  <si>
    <t>M-003</t>
  </si>
  <si>
    <t>SS SHEET 316 1500X1800 1.2MM</t>
  </si>
  <si>
    <t>M-004</t>
  </si>
  <si>
    <t>SS SHEET 8X4 1MM</t>
  </si>
  <si>
    <t>M-005</t>
  </si>
  <si>
    <t>G I SHEET 8X4 1.2MM</t>
  </si>
  <si>
    <t>M-006</t>
  </si>
  <si>
    <t>ACP PANNEL SILVER 8X4</t>
  </si>
  <si>
    <t>M-007</t>
  </si>
  <si>
    <t>ACP PANNEL SILVER 10X4</t>
  </si>
  <si>
    <t>M-008</t>
  </si>
  <si>
    <t>AC PANNEL SILVER 12X4</t>
  </si>
  <si>
    <t>M-009</t>
  </si>
  <si>
    <t>AC PANNEL BALCK 12X4</t>
  </si>
  <si>
    <t>M-010</t>
  </si>
  <si>
    <t>GI PIPE 50X50 1.6 MM</t>
  </si>
  <si>
    <t>M-011</t>
  </si>
  <si>
    <t>GI PIPE 40X40 1.2MM</t>
  </si>
  <si>
    <t>M-012</t>
  </si>
  <si>
    <t>GI PIPE 25X25 1.2 MM</t>
  </si>
  <si>
    <t>M-013</t>
  </si>
  <si>
    <t>GI PIPE 20X20 1.2MM</t>
  </si>
  <si>
    <t>M-014</t>
  </si>
  <si>
    <t>GI PIPE 25X50 1.2 MM</t>
  </si>
  <si>
    <t>M-015</t>
  </si>
  <si>
    <t>M/S PIPE 20X20 1.2 MM</t>
  </si>
  <si>
    <t>M-016</t>
  </si>
  <si>
    <t>SS PIPE 50X50 1.5MM</t>
  </si>
  <si>
    <t>M-017</t>
  </si>
  <si>
    <t>SS PIPE 316 50X50 1.5MM</t>
  </si>
  <si>
    <t>M-018</t>
  </si>
  <si>
    <t>SS ROUND PIPE 316 50'1.2MM</t>
  </si>
  <si>
    <t>M-019</t>
  </si>
  <si>
    <t>SS PIPE 20X20 1.2 MM</t>
  </si>
  <si>
    <t>M-020</t>
  </si>
  <si>
    <t>SS PIPE ROUND 50 1.2MM</t>
  </si>
  <si>
    <t>M-021</t>
  </si>
  <si>
    <t>SS 50 MM ELBOW</t>
  </si>
  <si>
    <t>M-022</t>
  </si>
  <si>
    <t>SS ELBOW 316 50MM</t>
  </si>
  <si>
    <t>M-023</t>
  </si>
  <si>
    <t>SS CANCIL 316 50MM</t>
  </si>
  <si>
    <t>M-024</t>
  </si>
  <si>
    <t>SS 50MM CANSHIL</t>
  </si>
  <si>
    <t>M-025</t>
  </si>
  <si>
    <t>BODY LOCK DOOR</t>
  </si>
  <si>
    <t>M-026</t>
  </si>
  <si>
    <t>TOWER BOLT</t>
  </si>
  <si>
    <t>M-027</t>
  </si>
  <si>
    <t>PANAL LOCK</t>
  </si>
  <si>
    <t>M-028</t>
  </si>
  <si>
    <t>SS HANDLE 8 INCH</t>
  </si>
  <si>
    <t>M-029</t>
  </si>
  <si>
    <t>SS HANDLE BIG</t>
  </si>
  <si>
    <t>M-030</t>
  </si>
  <si>
    <t>TEE CP 0.5 BRASS</t>
  </si>
  <si>
    <t>M-031</t>
  </si>
  <si>
    <t>FLUSH PATTI</t>
  </si>
  <si>
    <t>M-032</t>
  </si>
  <si>
    <t>INDIAN LAVATORY PAN</t>
  </si>
  <si>
    <t>M-033</t>
  </si>
  <si>
    <t>WESTERN COMMODE</t>
  </si>
  <si>
    <t>M-034</t>
  </si>
  <si>
    <t>URNIAL MALE</t>
  </si>
  <si>
    <t>M-035</t>
  </si>
  <si>
    <t>URNIAL  FEMALE</t>
  </si>
  <si>
    <t>M-036</t>
  </si>
  <si>
    <t>GI PIPE 50X50 2MM</t>
  </si>
  <si>
    <t>M-037</t>
  </si>
  <si>
    <t>ACP PANNEL TAP</t>
  </si>
  <si>
    <t>M-038</t>
  </si>
  <si>
    <t>S S PIPE 40X40 1.2 MM</t>
  </si>
  <si>
    <t>M-039</t>
  </si>
  <si>
    <t>CUTTING WHEEL 14 ''</t>
  </si>
  <si>
    <t>M-040</t>
  </si>
  <si>
    <t>CUTTING WHEEL</t>
  </si>
  <si>
    <t>M-041</t>
  </si>
  <si>
    <t>BUFFING WHEEL</t>
  </si>
  <si>
    <t>M-042</t>
  </si>
  <si>
    <t>GARNDING WHEEL</t>
  </si>
  <si>
    <t>M-043</t>
  </si>
  <si>
    <t>HINGS 5X12</t>
  </si>
  <si>
    <t>M-044</t>
  </si>
  <si>
    <t>SPARY SILVER</t>
  </si>
  <si>
    <t>M-045</t>
  </si>
  <si>
    <t>SILICONE WHITE</t>
  </si>
  <si>
    <t>M-046</t>
  </si>
  <si>
    <t>SILICONE BLACK</t>
  </si>
  <si>
    <t>M-047</t>
  </si>
  <si>
    <t>MCL</t>
  </si>
  <si>
    <t>M-048</t>
  </si>
  <si>
    <t>WELDING WIRE MS</t>
  </si>
  <si>
    <t>M-049</t>
  </si>
  <si>
    <t>S S PIPE 25X25 1.2MM</t>
  </si>
  <si>
    <t>M-050</t>
  </si>
  <si>
    <t>GRANDING WHEEL5</t>
  </si>
  <si>
    <t>M-051</t>
  </si>
  <si>
    <t>GANDING M-C 5</t>
  </si>
  <si>
    <t>M-052</t>
  </si>
  <si>
    <t>BATTERY DRILL M-C</t>
  </si>
  <si>
    <t>M-053</t>
  </si>
  <si>
    <t>BABY LATCH</t>
  </si>
  <si>
    <t>M-054</t>
  </si>
  <si>
    <t>SS PANL DOOR HANDL</t>
  </si>
  <si>
    <t>M-055</t>
  </si>
  <si>
    <t>GRANDER M-C</t>
  </si>
  <si>
    <t>M-056</t>
  </si>
  <si>
    <t>DIRLL M-C</t>
  </si>
  <si>
    <t>M-057</t>
  </si>
  <si>
    <t>GRANDER ROUND M-C</t>
  </si>
  <si>
    <t>M-058</t>
  </si>
  <si>
    <t>CUTTING M-C 14</t>
  </si>
  <si>
    <t>M-059</t>
  </si>
  <si>
    <t>SS WEDING WIRE</t>
  </si>
  <si>
    <t>P-001</t>
  </si>
  <si>
    <t>UPVC PIPE 1 INCH</t>
  </si>
  <si>
    <t>P-002</t>
  </si>
  <si>
    <t>UPVC PIPE 2 INCH</t>
  </si>
  <si>
    <t>P-003</t>
  </si>
  <si>
    <t>UPVC PIPE 0.5 INCH</t>
  </si>
  <si>
    <t>P-004</t>
  </si>
  <si>
    <t>UPVC 1 BRASS MT</t>
  </si>
  <si>
    <t>P-005</t>
  </si>
  <si>
    <t>UPVC 1 ELBOW</t>
  </si>
  <si>
    <t>P-006</t>
  </si>
  <si>
    <t>UPVC 1 BRASS ELBOW</t>
  </si>
  <si>
    <t>P-007</t>
  </si>
  <si>
    <t>UPVC 1 TEE</t>
  </si>
  <si>
    <t>P-008</t>
  </si>
  <si>
    <t>UPVC 1 CAPLER</t>
  </si>
  <si>
    <t>P-009</t>
  </si>
  <si>
    <t>UPVC 1 BRASS FT</t>
  </si>
  <si>
    <t>P-010</t>
  </si>
  <si>
    <t>UPVC 1 UNION</t>
  </si>
  <si>
    <t>P-011</t>
  </si>
  <si>
    <t>UPVC 1MT PLASTIC</t>
  </si>
  <si>
    <t>P-012</t>
  </si>
  <si>
    <t>UPAVC 1 TANK NIPPAL</t>
  </si>
  <si>
    <t>P-013</t>
  </si>
  <si>
    <t>UPVC 1 Y STRAINER</t>
  </si>
  <si>
    <t>P-014</t>
  </si>
  <si>
    <t>UPVC 1 BUSH 1X0.5</t>
  </si>
  <si>
    <t>P-015</t>
  </si>
  <si>
    <t>UPVC 1 BALL COCK</t>
  </si>
  <si>
    <t>P-016</t>
  </si>
  <si>
    <t>UPVC 2 UNION</t>
  </si>
  <si>
    <t>P-017</t>
  </si>
  <si>
    <t>UPVC 2 BALL COCK</t>
  </si>
  <si>
    <t>P-018</t>
  </si>
  <si>
    <t>UPVC 2CAPLING</t>
  </si>
  <si>
    <t>P-019</t>
  </si>
  <si>
    <t>UPVC 2 TEE</t>
  </si>
  <si>
    <t>P-020</t>
  </si>
  <si>
    <t>UPVC 2 TANK NOPPLE</t>
  </si>
  <si>
    <t>P-021</t>
  </si>
  <si>
    <t>UPVC 2X1 REDUCER</t>
  </si>
  <si>
    <t>P-022</t>
  </si>
  <si>
    <t>UPVC 2 ELBOW</t>
  </si>
  <si>
    <t>P-023</t>
  </si>
  <si>
    <t>UPVC 0.5 MT PLASTIC</t>
  </si>
  <si>
    <t>P-024</t>
  </si>
  <si>
    <t>UPVC 0.5 UNION</t>
  </si>
  <si>
    <t>P-025</t>
  </si>
  <si>
    <t>UPVC 0.5 BRASS FT</t>
  </si>
  <si>
    <t>P-026</t>
  </si>
  <si>
    <t>UPVC 0.5 BRASS MT</t>
  </si>
  <si>
    <t>P-027</t>
  </si>
  <si>
    <t>UPVC 0.5 BRASS ELBOW</t>
  </si>
  <si>
    <t>P-028</t>
  </si>
  <si>
    <t>UPVC0.5 TEE</t>
  </si>
  <si>
    <t>P-029</t>
  </si>
  <si>
    <t>UPVC 0.5 ELBOW</t>
  </si>
  <si>
    <t>P-030</t>
  </si>
  <si>
    <t>UPVC 0.5 COUPPLER</t>
  </si>
  <si>
    <t>P-031</t>
  </si>
  <si>
    <t>BOTTOL TRAP</t>
  </si>
  <si>
    <t>P-032</t>
  </si>
  <si>
    <t>PUSH COCK</t>
  </si>
  <si>
    <t>P-033</t>
  </si>
  <si>
    <t>SHOWER COCK</t>
  </si>
  <si>
    <t>P-034</t>
  </si>
  <si>
    <t>SHOWER PIPE TUB</t>
  </si>
  <si>
    <t>P-035</t>
  </si>
  <si>
    <t>HEX NIPPEL 0.5 BRASS</t>
  </si>
  <si>
    <t>P-036</t>
  </si>
  <si>
    <t>HEX NIPPEL 1 GI</t>
  </si>
  <si>
    <t>P-037</t>
  </si>
  <si>
    <t>SHOWER HEATH STAND</t>
  </si>
  <si>
    <t>P-038</t>
  </si>
  <si>
    <t>KOMBAD 4 INCH</t>
  </si>
  <si>
    <t>P-039</t>
  </si>
  <si>
    <t>WATER TANK 500</t>
  </si>
  <si>
    <t>P-040</t>
  </si>
  <si>
    <t>WATER TANK 400</t>
  </si>
  <si>
    <t>P-041</t>
  </si>
  <si>
    <t>SPRINKLER NOZZLE</t>
  </si>
  <si>
    <t>P-042</t>
  </si>
  <si>
    <t>EYE BOLT</t>
  </si>
  <si>
    <t>P-043</t>
  </si>
  <si>
    <t>UPVC 2X1 TEE</t>
  </si>
  <si>
    <t>P-044</t>
  </si>
  <si>
    <t>BASIN WATE COUPLER FLAT</t>
  </si>
  <si>
    <t>P-045</t>
  </si>
  <si>
    <t>SS HEX NIPPEL 0.5</t>
  </si>
  <si>
    <t>P-046</t>
  </si>
  <si>
    <t>TANK BALL COCK 0.5</t>
  </si>
  <si>
    <t>P-047</t>
  </si>
  <si>
    <t>TANK BALL</t>
  </si>
  <si>
    <t>P-048</t>
  </si>
  <si>
    <t>PVC PIPE 4 INCH</t>
  </si>
  <si>
    <t>P-049</t>
  </si>
  <si>
    <t>PVC 4 INCH ELBOW</t>
  </si>
  <si>
    <t>P-050</t>
  </si>
  <si>
    <t>PVC 4 INCH COPPLER</t>
  </si>
  <si>
    <t>P-051</t>
  </si>
  <si>
    <t>PVC 40MM PIPE</t>
  </si>
  <si>
    <t>P-052</t>
  </si>
  <si>
    <t>PVC 40 MM ELBOW</t>
  </si>
  <si>
    <t>P-053</t>
  </si>
  <si>
    <t>PVC 40 MM TEE</t>
  </si>
  <si>
    <t>P-054</t>
  </si>
  <si>
    <t>SS WATTI</t>
  </si>
  <si>
    <t>P-055</t>
  </si>
  <si>
    <t>SS HOOKE PANEL</t>
  </si>
  <si>
    <t>P-056</t>
  </si>
  <si>
    <t>ENGLISH TOLIAT TOP COVER</t>
  </si>
  <si>
    <t>P-057</t>
  </si>
  <si>
    <t>ENGLISH KOMDA 4</t>
  </si>
  <si>
    <t>P-058</t>
  </si>
  <si>
    <t>PVC CAPLING 4</t>
  </si>
  <si>
    <t>P-059</t>
  </si>
  <si>
    <t>PVC CPLING 2</t>
  </si>
  <si>
    <t>P-060</t>
  </si>
  <si>
    <t>PVC CAP 4</t>
  </si>
  <si>
    <t>P-061</t>
  </si>
  <si>
    <t>PVC REDUCER 2X 40 MM</t>
  </si>
  <si>
    <t>P-062</t>
  </si>
  <si>
    <t>PVC CAPLING 40 FT</t>
  </si>
  <si>
    <t>P-063</t>
  </si>
  <si>
    <t>PVC TEE 4</t>
  </si>
  <si>
    <t>P-064</t>
  </si>
  <si>
    <t>PVC TEE 2</t>
  </si>
  <si>
    <t>P-065</t>
  </si>
  <si>
    <t>PVC 2 ELBOW</t>
  </si>
  <si>
    <t>P-066</t>
  </si>
  <si>
    <t>UPVC SOLVENT</t>
  </si>
  <si>
    <t>P-067</t>
  </si>
  <si>
    <t>PVC 45 TEE 4</t>
  </si>
  <si>
    <t>P-068</t>
  </si>
  <si>
    <t>SS ZALI ACP PANNEL 8X6</t>
  </si>
  <si>
    <t>M-060</t>
  </si>
  <si>
    <t>MS PIPE 20X20 1.2 MM</t>
  </si>
  <si>
    <t>M-061</t>
  </si>
  <si>
    <t>SS CHEKERE PLAT 8X4 3000X1500</t>
  </si>
  <si>
    <t>E-077</t>
  </si>
  <si>
    <t>PCB  BOARDS</t>
  </si>
  <si>
    <t>E-078</t>
  </si>
  <si>
    <t>RELAY  PCB</t>
  </si>
  <si>
    <t>E-079</t>
  </si>
  <si>
    <t>GSM  ANTENNA</t>
  </si>
  <si>
    <t>E-080</t>
  </si>
  <si>
    <t>LCD  DISPLAY</t>
  </si>
  <si>
    <t>E-081</t>
  </si>
  <si>
    <t>FRP CABLE</t>
  </si>
  <si>
    <t>E-082</t>
  </si>
  <si>
    <t>PCB BIG CONNECTOR</t>
  </si>
  <si>
    <t>E-083</t>
  </si>
  <si>
    <t>PCB SMALL  CONNECTOR</t>
  </si>
  <si>
    <t>E-084</t>
  </si>
  <si>
    <t>32 AMP (ELCB)</t>
  </si>
  <si>
    <t>E-085</t>
  </si>
  <si>
    <t>SMPS 12V (2.1 AMP)</t>
  </si>
  <si>
    <t>E-086</t>
  </si>
  <si>
    <t>MCB 10 A 1P</t>
  </si>
  <si>
    <t>E-087</t>
  </si>
  <si>
    <t>MCB 16 A 2P</t>
  </si>
  <si>
    <t>E-088</t>
  </si>
  <si>
    <t>LIMIT SWITCH BIG</t>
  </si>
  <si>
    <t>E-089</t>
  </si>
  <si>
    <t>LIMIT SWITCH MICRO</t>
  </si>
  <si>
    <t>E-090</t>
  </si>
  <si>
    <t>LDR  SENSOR</t>
  </si>
  <si>
    <t>E-091</t>
  </si>
  <si>
    <t>PUSH  BUTTON</t>
  </si>
  <si>
    <t>E-092</t>
  </si>
  <si>
    <t>PB CONNECTOR</t>
  </si>
  <si>
    <t>E-093</t>
  </si>
  <si>
    <t>SOLENOID VALVE (0.5 inch)</t>
  </si>
  <si>
    <t>E-094</t>
  </si>
  <si>
    <t>SOLENOID VALVE (1 inch)</t>
  </si>
  <si>
    <t>E-095</t>
  </si>
  <si>
    <t>RED INDICATOR  (2watt)</t>
  </si>
  <si>
    <t>E-096</t>
  </si>
  <si>
    <t>GREEN INDICATOR  (2watt)</t>
  </si>
  <si>
    <t>E-097</t>
  </si>
  <si>
    <t>PANASONIC LIGHT  (3 watt)</t>
  </si>
  <si>
    <t>E-098</t>
  </si>
  <si>
    <t>ACTUATOR</t>
  </si>
  <si>
    <t>E-099</t>
  </si>
  <si>
    <t>COIN ACCEPTOR</t>
  </si>
  <si>
    <t>E-100</t>
  </si>
  <si>
    <t>BUZZER</t>
  </si>
  <si>
    <t>E-101</t>
  </si>
  <si>
    <t>EX-HUST FAN</t>
  </si>
  <si>
    <t>E-102</t>
  </si>
  <si>
    <t>TOP PIN 6 AMP</t>
  </si>
  <si>
    <t>E-103</t>
  </si>
  <si>
    <t>PLUG  BOARDS</t>
  </si>
  <si>
    <t>E-104</t>
  </si>
  <si>
    <t>SOCKET</t>
  </si>
  <si>
    <t>E-105</t>
  </si>
  <si>
    <t>SWITCH</t>
  </si>
  <si>
    <t>E-106</t>
  </si>
  <si>
    <t>MCB DB BOARD</t>
  </si>
  <si>
    <t>E-107</t>
  </si>
  <si>
    <t>E.CONTROL PANEL SS 316</t>
  </si>
  <si>
    <t>E-108</t>
  </si>
  <si>
    <t>E.CONTROL PANEL SS 304</t>
  </si>
  <si>
    <t>E-109</t>
  </si>
  <si>
    <t>INVERTER</t>
  </si>
  <si>
    <t>E-110</t>
  </si>
  <si>
    <t>BATTERY</t>
  </si>
  <si>
    <t>E-111</t>
  </si>
  <si>
    <t>EARTHING  PLATE</t>
  </si>
  <si>
    <t>E-112</t>
  </si>
  <si>
    <t>EARTHING  WIRE</t>
  </si>
  <si>
    <t>E-113</t>
  </si>
  <si>
    <t>1/2 HP PRESSURE MOTOR</t>
  </si>
  <si>
    <t>E-114</t>
  </si>
  <si>
    <t>SOLAR PLATE</t>
  </si>
  <si>
    <t>E-115</t>
  </si>
  <si>
    <t>CAMERA</t>
  </si>
  <si>
    <t>E-116</t>
  </si>
  <si>
    <t>DVR</t>
  </si>
  <si>
    <t>E-117</t>
  </si>
  <si>
    <t>HARD DISK</t>
  </si>
  <si>
    <t>E-118</t>
  </si>
  <si>
    <t>CCTV CABLE</t>
  </si>
  <si>
    <t>E-119</t>
  </si>
  <si>
    <t>FOUR WAY PIPE</t>
  </si>
  <si>
    <t>E-120</t>
  </si>
  <si>
    <t>ELBOW</t>
  </si>
  <si>
    <t>E-121</t>
  </si>
  <si>
    <t>TEE</t>
  </si>
  <si>
    <t>E-122</t>
  </si>
  <si>
    <t>RED WIRE 0.5</t>
  </si>
  <si>
    <t>E-123</t>
  </si>
  <si>
    <t>BLACK WIRE 0.6</t>
  </si>
  <si>
    <t>E-124</t>
  </si>
  <si>
    <t>WHITE WIRE 0.7</t>
  </si>
  <si>
    <t>E-125</t>
  </si>
  <si>
    <t>GRAY WIRE 0.8</t>
  </si>
  <si>
    <t>E-126</t>
  </si>
  <si>
    <t>BLUE WIRE 0.9</t>
  </si>
  <si>
    <t>E-127</t>
  </si>
  <si>
    <t>ORANGE WIRE 0.10</t>
  </si>
  <si>
    <t>E-128</t>
  </si>
  <si>
    <t>GREEN  WIRE 0.11</t>
  </si>
  <si>
    <t>E-129</t>
  </si>
  <si>
    <t>BROWN  WIRE 0.11</t>
  </si>
  <si>
    <t>E-130</t>
  </si>
  <si>
    <t>YELLOW  WIRE 0.11</t>
  </si>
  <si>
    <t>E-131</t>
  </si>
  <si>
    <t>2 CORE -BLACK</t>
  </si>
  <si>
    <t>E-132</t>
  </si>
  <si>
    <t>3 CORE -BLACK</t>
  </si>
  <si>
    <t>E-133</t>
  </si>
  <si>
    <t>3 CORE -GRAY</t>
  </si>
  <si>
    <t>E-134</t>
  </si>
  <si>
    <t>3 CORE -BLACK 1.5sq mm.</t>
  </si>
  <si>
    <t>E-135</t>
  </si>
  <si>
    <t>EMERGENCY BUTTON</t>
  </si>
  <si>
    <t>Date</t>
  </si>
  <si>
    <t>Item Name (Auto)</t>
  </si>
  <si>
    <t>Category (Auto)</t>
  </si>
  <si>
    <t>Quantity Added</t>
  </si>
  <si>
    <t>Handover From</t>
  </si>
  <si>
    <t>2026-09-21</t>
  </si>
  <si>
    <t>System Migration</t>
  </si>
  <si>
    <t>Quantity Taken</t>
  </si>
  <si>
    <t>Handover To</t>
  </si>
  <si>
    <t>Total IN</t>
  </si>
  <si>
    <t>Total OUT</t>
  </si>
  <si>
    <t>Current Stock</t>
  </si>
  <si>
    <t>Status</t>
  </si>
  <si>
    <t>M-062</t>
  </si>
  <si>
    <t>Screw</t>
  </si>
  <si>
    <t>2026-09-22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</si>
</sst>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1F4E78"/>
      <name val="Calibri"/>
    </font>
    <font>
      <b/>
      <sz val="12"/>
      <name val="Calibri"/>
    </font>
    <font>
      <b/>
      <sz val="16"/>
      <color rgb="FF1F4E78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Categories" displayName="TableCategories" ref="B9:B23">
  <autoFilter ref="B9:B23" xr:uid="{00000000-0009-0000-0100-000001000000}"/>
  <tableColumns count="1">
    <tableColumn id="2" xr3:uid="{00000000-0010-0000-0000-000002000000}" name="Categori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HelpersIN" displayName="TableHelpersIN" ref="D9:D21">
  <autoFilter ref="D9:D21" xr:uid="{00000000-0009-0000-0100-000002000000}"/>
  <tableColumns count="1">
    <tableColumn id="4" xr3:uid="{00000000-0010-0000-0100-000004000000}" name="HelpersI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HelpersOUT" displayName="TableHelpersOUT" ref="F9:F21">
  <autoFilter ref="F9:F21" xr:uid="{00000000-0009-0000-0100-000003000000}"/>
  <tableColumns count="1">
    <tableColumn id="6" xr3:uid="{00000000-0010-0000-0200-000006000000}" name="HelpersOU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temMasterTable" displayName="ItemMasterTable" ref="A1:D365">
  <autoFilter ref="A1:D365" xr:uid="{00000000-0009-0000-0100-000004000000}"/>
  <tableColumns count="4">
    <tableColumn id="1" xr3:uid="{00000000-0010-0000-0300-000001000000}" name="Item Code"/>
    <tableColumn id="2" xr3:uid="{00000000-0010-0000-0300-000002000000}" name="Item Name"/>
    <tableColumn id="3" xr3:uid="{00000000-0010-0000-0300-000003000000}" name="Category"/>
    <tableColumn id="4" xr3:uid="{00000000-0010-0000-0300-000004000000}" name="Minimum Stock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ockInTable" displayName="StockInTable" ref="A1:F290">
  <autoFilter ref="A1:F290" xr:uid="{00000000-0009-0000-0100-000005000000}"/>
  <tableColumns count="6">
    <tableColumn id="1" xr3:uid="{00000000-0010-0000-0400-000001000000}" name="Date"/>
    <tableColumn id="2" xr3:uid="{00000000-0010-0000-0400-000002000000}" name="Item Code"/>
    <tableColumn id="3" xr3:uid="{00000000-0010-0000-0400-000003000000}" name="Item Name (Auto)"/>
    <tableColumn id="4" xr3:uid="{00000000-0010-0000-0400-000004000000}" name="Category (Auto)"/>
    <tableColumn id="5" xr3:uid="{00000000-0010-0000-0400-000005000000}" name="Quantity Added"/>
    <tableColumn id="6" xr3:uid="{00000000-0010-0000-0400-000006000000}" name="Handover Fro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ockOutTable" displayName="StockOutTable" ref="A1:F151">
  <autoFilter ref="A1:F151" xr:uid="{00000000-0009-0000-0100-000006000000}"/>
  <tableColumns count="6">
    <tableColumn id="1" xr3:uid="{00000000-0010-0000-0500-000001000000}" name="Date"/>
    <tableColumn id="2" xr3:uid="{00000000-0010-0000-0500-000002000000}" name="Item Code"/>
    <tableColumn id="3" xr3:uid="{00000000-0010-0000-0500-000003000000}" name="Item Name (Auto)"/>
    <tableColumn id="4" xr3:uid="{00000000-0010-0000-0500-000004000000}" name="Category (Auto)"/>
    <tableColumn id="5" xr3:uid="{00000000-0010-0000-0500-000005000000}" name="Quantity Taken"/>
    <tableColumn id="6" xr3:uid="{00000000-0010-0000-0500-000006000000}" name="Handover 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urrentStockTable" displayName="CurrentStockTable" ref="A1:G365">
  <autoFilter ref="A1:G365" xr:uid="{00000000-0009-0000-0100-000007000000}"/>
  <tableColumns count="7">
    <tableColumn id="1" xr3:uid="{00000000-0010-0000-0600-000001000000}" name="Item Code"/>
    <tableColumn id="2" xr3:uid="{00000000-0010-0000-0600-000002000000}" name="Item Name"/>
    <tableColumn id="3" xr3:uid="{00000000-0010-0000-0600-000003000000}" name="Category"/>
    <tableColumn id="4" xr3:uid="{00000000-0010-0000-0600-000004000000}" name="Total IN"/>
    <tableColumn id="5" xr3:uid="{00000000-0010-0000-0600-000005000000}" name="Total OUT"/>
    <tableColumn id="6" xr3:uid="{00000000-0010-0000-0600-000006000000}" name="Current Stock"/>
    <tableColumn id="7" xr3:uid="{00000000-0010-0000-0600-000007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showGridLines="0" tabSelected="1" topLeftCell="A3" workbookViewId="0">
      <selection activeCell="A2" sqref="A2"/>
    </sheetView>
  </sheetViews>
  <sheetFormatPr defaultRowHeight="14.5" x14ac:dyDescent="0.35"/>
  <cols>
    <col min="2" max="2" width="30" customWidth="1"/>
    <col min="3" max="3" width="20" customWidth="1"/>
    <col min="4" max="4" width="30" customWidth="1"/>
    <col min="5" max="5" width="20" customWidth="1"/>
    <col min="6" max="6" width="30" customWidth="1"/>
  </cols>
  <sheetData>
    <row r="2" spans="2:6" x14ac:dyDescent="0.35">
      <c r="B2" s="4" t="s">
        <v>0</v>
      </c>
      <c r="C2" s="5"/>
      <c r="D2" s="5"/>
      <c r="E2" s="5"/>
      <c r="F2" s="5"/>
    </row>
    <row r="3" spans="2:6" x14ac:dyDescent="0.35">
      <c r="B3" s="5"/>
      <c r="C3" s="5"/>
      <c r="D3" s="5"/>
      <c r="E3" s="5"/>
      <c r="F3" s="5"/>
    </row>
    <row r="5" spans="2:6" ht="20" customHeight="1" x14ac:dyDescent="0.3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2:6" ht="40" customHeight="1" x14ac:dyDescent="0.35">
      <c r="B6" s="2">
        <f>COUNTA('2. ITEM MASTER'!A:A)-1</f>
        <v>265</v>
      </c>
      <c r="C6" s="2">
        <f>COUNTIF('5. CURRENT STOCK'!G:G, "LOW STOCK")</f>
        <v>32</v>
      </c>
      <c r="D6" s="2">
        <f>COUNTIF('5. CURRENT STOCK'!G:G, "OUT OF STOCK")</f>
        <v>125</v>
      </c>
      <c r="E6" s="2">
        <f>SUM('3. STOCK IN'!E:E)</f>
        <v>7839</v>
      </c>
      <c r="F6" s="2">
        <f>SUM('4. STOCK OUT'!E:E)</f>
        <v>0</v>
      </c>
    </row>
    <row r="9" spans="2:6" x14ac:dyDescent="0.35">
      <c r="B9" t="s">
        <v>6</v>
      </c>
      <c r="D9" t="s">
        <v>7</v>
      </c>
      <c r="F9" t="s">
        <v>8</v>
      </c>
    </row>
    <row r="10" spans="2:6" x14ac:dyDescent="0.35">
      <c r="B10" t="s">
        <v>9</v>
      </c>
      <c r="D10" t="s">
        <v>10</v>
      </c>
      <c r="F10" t="s">
        <v>11</v>
      </c>
    </row>
    <row r="11" spans="2:6" x14ac:dyDescent="0.35">
      <c r="B11" t="s">
        <v>12</v>
      </c>
      <c r="D11" t="s">
        <v>13</v>
      </c>
      <c r="F11" t="s">
        <v>14</v>
      </c>
    </row>
    <row r="12" spans="2:6" x14ac:dyDescent="0.35">
      <c r="B12" t="s">
        <v>15</v>
      </c>
    </row>
    <row r="13" spans="2:6" x14ac:dyDescent="0.35">
      <c r="B13" t="s">
        <v>16</v>
      </c>
    </row>
  </sheetData>
  <mergeCells count="1">
    <mergeCell ref="B2:F3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5"/>
  <sheetViews>
    <sheetView topLeftCell="A260" zoomScale="179" workbookViewId="0">
      <selection activeCell="C266" sqref="C266"/>
    </sheetView>
  </sheetViews>
  <sheetFormatPr defaultRowHeight="14.5" x14ac:dyDescent="0.35"/>
  <cols>
    <col min="1" max="1" width="12.08984375" customWidth="1"/>
    <col min="2" max="2" width="34.08984375" customWidth="1"/>
    <col min="3" max="3" width="14.36328125" customWidth="1"/>
    <col min="4" max="4" width="16.453125" customWidth="1"/>
  </cols>
  <sheetData>
    <row r="1" spans="1:4" x14ac:dyDescent="0.35">
      <c r="A1" t="s">
        <v>17</v>
      </c>
      <c r="B1" t="s">
        <v>18</v>
      </c>
      <c r="C1" t="s">
        <v>19</v>
      </c>
      <c r="D1" t="s">
        <v>20</v>
      </c>
    </row>
    <row r="2" spans="1:4" x14ac:dyDescent="0.35">
      <c r="A2" t="s">
        <v>21</v>
      </c>
      <c r="B2" t="s">
        <v>22</v>
      </c>
      <c r="C2" t="s">
        <v>16</v>
      </c>
      <c r="D2">
        <v>5</v>
      </c>
    </row>
    <row r="3" spans="1:4" x14ac:dyDescent="0.35">
      <c r="A3" t="s">
        <v>23</v>
      </c>
      <c r="B3" t="s">
        <v>24</v>
      </c>
      <c r="C3" t="s">
        <v>16</v>
      </c>
      <c r="D3">
        <v>5</v>
      </c>
    </row>
    <row r="4" spans="1:4" x14ac:dyDescent="0.35">
      <c r="A4" t="s">
        <v>25</v>
      </c>
      <c r="B4" t="s">
        <v>26</v>
      </c>
      <c r="C4" t="s">
        <v>16</v>
      </c>
      <c r="D4">
        <v>5</v>
      </c>
    </row>
    <row r="5" spans="1:4" x14ac:dyDescent="0.35">
      <c r="A5" t="s">
        <v>27</v>
      </c>
      <c r="B5" t="s">
        <v>28</v>
      </c>
      <c r="C5" t="s">
        <v>16</v>
      </c>
      <c r="D5">
        <v>5</v>
      </c>
    </row>
    <row r="6" spans="1:4" x14ac:dyDescent="0.35">
      <c r="A6" t="s">
        <v>29</v>
      </c>
      <c r="B6" t="s">
        <v>30</v>
      </c>
      <c r="C6" t="s">
        <v>16</v>
      </c>
      <c r="D6">
        <v>5</v>
      </c>
    </row>
    <row r="7" spans="1:4" x14ac:dyDescent="0.35">
      <c r="A7" t="s">
        <v>31</v>
      </c>
      <c r="B7" t="s">
        <v>32</v>
      </c>
      <c r="C7" t="s">
        <v>16</v>
      </c>
      <c r="D7">
        <v>5</v>
      </c>
    </row>
    <row r="8" spans="1:4" x14ac:dyDescent="0.35">
      <c r="A8" t="s">
        <v>33</v>
      </c>
      <c r="B8" t="s">
        <v>34</v>
      </c>
      <c r="C8" t="s">
        <v>16</v>
      </c>
      <c r="D8">
        <v>5</v>
      </c>
    </row>
    <row r="9" spans="1:4" x14ac:dyDescent="0.35">
      <c r="A9" t="s">
        <v>35</v>
      </c>
      <c r="B9" t="s">
        <v>36</v>
      </c>
      <c r="C9" t="s">
        <v>16</v>
      </c>
      <c r="D9">
        <v>5</v>
      </c>
    </row>
    <row r="10" spans="1:4" x14ac:dyDescent="0.35">
      <c r="A10" t="s">
        <v>37</v>
      </c>
      <c r="B10" t="s">
        <v>38</v>
      </c>
      <c r="C10" t="s">
        <v>16</v>
      </c>
      <c r="D10">
        <v>5</v>
      </c>
    </row>
    <row r="11" spans="1:4" x14ac:dyDescent="0.35">
      <c r="A11" t="s">
        <v>39</v>
      </c>
      <c r="B11" t="s">
        <v>40</v>
      </c>
      <c r="C11" t="s">
        <v>16</v>
      </c>
      <c r="D11">
        <v>5</v>
      </c>
    </row>
    <row r="12" spans="1:4" x14ac:dyDescent="0.35">
      <c r="A12" t="s">
        <v>41</v>
      </c>
      <c r="B12" t="s">
        <v>42</v>
      </c>
      <c r="C12" t="s">
        <v>16</v>
      </c>
      <c r="D12">
        <v>5</v>
      </c>
    </row>
    <row r="13" spans="1:4" x14ac:dyDescent="0.35">
      <c r="A13" t="s">
        <v>43</v>
      </c>
      <c r="B13" t="s">
        <v>44</v>
      </c>
      <c r="C13" t="s">
        <v>16</v>
      </c>
      <c r="D13">
        <v>5</v>
      </c>
    </row>
    <row r="14" spans="1:4" x14ac:dyDescent="0.35">
      <c r="A14" t="s">
        <v>45</v>
      </c>
      <c r="B14" t="s">
        <v>46</v>
      </c>
      <c r="C14" t="s">
        <v>16</v>
      </c>
      <c r="D14">
        <v>5</v>
      </c>
    </row>
    <row r="15" spans="1:4" x14ac:dyDescent="0.35">
      <c r="A15" t="s">
        <v>47</v>
      </c>
      <c r="B15" t="s">
        <v>48</v>
      </c>
      <c r="C15" t="s">
        <v>16</v>
      </c>
      <c r="D15">
        <v>5</v>
      </c>
    </row>
    <row r="16" spans="1:4" x14ac:dyDescent="0.35">
      <c r="A16" t="s">
        <v>49</v>
      </c>
      <c r="B16" t="s">
        <v>50</v>
      </c>
      <c r="C16" t="s">
        <v>16</v>
      </c>
      <c r="D16">
        <v>5</v>
      </c>
    </row>
    <row r="17" spans="1:4" x14ac:dyDescent="0.35">
      <c r="A17" t="s">
        <v>51</v>
      </c>
      <c r="B17" t="s">
        <v>52</v>
      </c>
      <c r="C17" t="s">
        <v>16</v>
      </c>
      <c r="D17">
        <v>5</v>
      </c>
    </row>
    <row r="18" spans="1:4" x14ac:dyDescent="0.35">
      <c r="A18" t="s">
        <v>53</v>
      </c>
      <c r="B18" t="s">
        <v>54</v>
      </c>
      <c r="C18" t="s">
        <v>16</v>
      </c>
      <c r="D18">
        <v>5</v>
      </c>
    </row>
    <row r="19" spans="1:4" x14ac:dyDescent="0.35">
      <c r="A19" t="s">
        <v>55</v>
      </c>
      <c r="B19" t="s">
        <v>56</v>
      </c>
      <c r="C19" t="s">
        <v>16</v>
      </c>
      <c r="D19">
        <v>5</v>
      </c>
    </row>
    <row r="20" spans="1:4" x14ac:dyDescent="0.35">
      <c r="A20" t="s">
        <v>57</v>
      </c>
      <c r="B20" t="s">
        <v>58</v>
      </c>
      <c r="C20" t="s">
        <v>16</v>
      </c>
      <c r="D20">
        <v>5</v>
      </c>
    </row>
    <row r="21" spans="1:4" x14ac:dyDescent="0.35">
      <c r="A21" t="s">
        <v>59</v>
      </c>
      <c r="B21" t="s">
        <v>60</v>
      </c>
      <c r="C21" t="s">
        <v>16</v>
      </c>
      <c r="D21">
        <v>5</v>
      </c>
    </row>
    <row r="22" spans="1:4" x14ac:dyDescent="0.35">
      <c r="A22" t="s">
        <v>61</v>
      </c>
      <c r="B22" t="s">
        <v>62</v>
      </c>
      <c r="C22" t="s">
        <v>16</v>
      </c>
      <c r="D22">
        <v>5</v>
      </c>
    </row>
    <row r="23" spans="1:4" x14ac:dyDescent="0.35">
      <c r="A23" t="s">
        <v>63</v>
      </c>
      <c r="B23" t="s">
        <v>64</v>
      </c>
      <c r="C23" t="s">
        <v>16</v>
      </c>
      <c r="D23">
        <v>5</v>
      </c>
    </row>
    <row r="24" spans="1:4" x14ac:dyDescent="0.35">
      <c r="A24" t="s">
        <v>65</v>
      </c>
      <c r="B24" t="s">
        <v>66</v>
      </c>
      <c r="C24" t="s">
        <v>16</v>
      </c>
      <c r="D24">
        <v>5</v>
      </c>
    </row>
    <row r="25" spans="1:4" x14ac:dyDescent="0.35">
      <c r="A25" t="s">
        <v>67</v>
      </c>
      <c r="B25" t="s">
        <v>68</v>
      </c>
      <c r="C25" t="s">
        <v>16</v>
      </c>
      <c r="D25">
        <v>5</v>
      </c>
    </row>
    <row r="26" spans="1:4" x14ac:dyDescent="0.35">
      <c r="A26" t="s">
        <v>69</v>
      </c>
      <c r="B26" t="s">
        <v>70</v>
      </c>
      <c r="C26" t="s">
        <v>16</v>
      </c>
      <c r="D26">
        <v>5</v>
      </c>
    </row>
    <row r="27" spans="1:4" x14ac:dyDescent="0.35">
      <c r="A27" t="s">
        <v>71</v>
      </c>
      <c r="B27" t="s">
        <v>72</v>
      </c>
      <c r="C27" t="s">
        <v>16</v>
      </c>
      <c r="D27">
        <v>5</v>
      </c>
    </row>
    <row r="28" spans="1:4" x14ac:dyDescent="0.35">
      <c r="A28" t="s">
        <v>73</v>
      </c>
      <c r="B28" t="s">
        <v>74</v>
      </c>
      <c r="C28" t="s">
        <v>16</v>
      </c>
      <c r="D28">
        <v>5</v>
      </c>
    </row>
    <row r="29" spans="1:4" x14ac:dyDescent="0.35">
      <c r="A29" t="s">
        <v>75</v>
      </c>
      <c r="B29" t="s">
        <v>76</v>
      </c>
      <c r="C29" t="s">
        <v>16</v>
      </c>
      <c r="D29">
        <v>5</v>
      </c>
    </row>
    <row r="30" spans="1:4" x14ac:dyDescent="0.35">
      <c r="A30" t="s">
        <v>77</v>
      </c>
      <c r="B30" t="s">
        <v>78</v>
      </c>
      <c r="C30" t="s">
        <v>16</v>
      </c>
      <c r="D30">
        <v>5</v>
      </c>
    </row>
    <row r="31" spans="1:4" x14ac:dyDescent="0.35">
      <c r="A31" t="s">
        <v>79</v>
      </c>
      <c r="B31" t="s">
        <v>80</v>
      </c>
      <c r="C31" t="s">
        <v>16</v>
      </c>
      <c r="D31">
        <v>5</v>
      </c>
    </row>
    <row r="32" spans="1:4" x14ac:dyDescent="0.35">
      <c r="A32" t="s">
        <v>81</v>
      </c>
      <c r="B32" t="s">
        <v>82</v>
      </c>
      <c r="C32" t="s">
        <v>16</v>
      </c>
      <c r="D32">
        <v>5</v>
      </c>
    </row>
    <row r="33" spans="1:4" x14ac:dyDescent="0.35">
      <c r="A33" t="s">
        <v>83</v>
      </c>
      <c r="B33" t="s">
        <v>84</v>
      </c>
      <c r="C33" t="s">
        <v>16</v>
      </c>
      <c r="D33">
        <v>5</v>
      </c>
    </row>
    <row r="34" spans="1:4" x14ac:dyDescent="0.35">
      <c r="A34" t="s">
        <v>85</v>
      </c>
      <c r="B34" t="s">
        <v>86</v>
      </c>
      <c r="C34" t="s">
        <v>16</v>
      </c>
      <c r="D34">
        <v>5</v>
      </c>
    </row>
    <row r="35" spans="1:4" x14ac:dyDescent="0.35">
      <c r="A35" t="s">
        <v>87</v>
      </c>
      <c r="B35" t="s">
        <v>88</v>
      </c>
      <c r="C35" t="s">
        <v>16</v>
      </c>
      <c r="D35">
        <v>5</v>
      </c>
    </row>
    <row r="36" spans="1:4" x14ac:dyDescent="0.35">
      <c r="A36" t="s">
        <v>89</v>
      </c>
      <c r="B36" t="s">
        <v>90</v>
      </c>
      <c r="C36" t="s">
        <v>16</v>
      </c>
      <c r="D36">
        <v>5</v>
      </c>
    </row>
    <row r="37" spans="1:4" x14ac:dyDescent="0.35">
      <c r="A37" t="s">
        <v>91</v>
      </c>
      <c r="B37" t="s">
        <v>92</v>
      </c>
      <c r="C37" t="s">
        <v>16</v>
      </c>
      <c r="D37">
        <v>5</v>
      </c>
    </row>
    <row r="38" spans="1:4" x14ac:dyDescent="0.35">
      <c r="A38" t="s">
        <v>93</v>
      </c>
      <c r="B38" t="s">
        <v>94</v>
      </c>
      <c r="C38" t="s">
        <v>16</v>
      </c>
      <c r="D38">
        <v>5</v>
      </c>
    </row>
    <row r="39" spans="1:4" x14ac:dyDescent="0.35">
      <c r="A39" t="s">
        <v>95</v>
      </c>
      <c r="B39" t="s">
        <v>96</v>
      </c>
      <c r="C39" t="s">
        <v>16</v>
      </c>
      <c r="D39">
        <v>5</v>
      </c>
    </row>
    <row r="40" spans="1:4" x14ac:dyDescent="0.35">
      <c r="A40" t="s">
        <v>97</v>
      </c>
      <c r="B40" t="s">
        <v>98</v>
      </c>
      <c r="C40" t="s">
        <v>16</v>
      </c>
      <c r="D40">
        <v>5</v>
      </c>
    </row>
    <row r="41" spans="1:4" x14ac:dyDescent="0.35">
      <c r="A41" t="s">
        <v>99</v>
      </c>
      <c r="B41" t="s">
        <v>100</v>
      </c>
      <c r="C41" t="s">
        <v>16</v>
      </c>
      <c r="D41">
        <v>5</v>
      </c>
    </row>
    <row r="42" spans="1:4" x14ac:dyDescent="0.35">
      <c r="A42" t="s">
        <v>101</v>
      </c>
      <c r="B42" t="s">
        <v>102</v>
      </c>
      <c r="C42" t="s">
        <v>16</v>
      </c>
      <c r="D42">
        <v>5</v>
      </c>
    </row>
    <row r="43" spans="1:4" x14ac:dyDescent="0.35">
      <c r="A43" t="s">
        <v>103</v>
      </c>
      <c r="B43" t="s">
        <v>104</v>
      </c>
      <c r="C43" t="s">
        <v>16</v>
      </c>
      <c r="D43">
        <v>5</v>
      </c>
    </row>
    <row r="44" spans="1:4" x14ac:dyDescent="0.35">
      <c r="A44" t="s">
        <v>105</v>
      </c>
      <c r="B44" t="s">
        <v>106</v>
      </c>
      <c r="C44" t="s">
        <v>16</v>
      </c>
      <c r="D44">
        <v>5</v>
      </c>
    </row>
    <row r="45" spans="1:4" x14ac:dyDescent="0.35">
      <c r="A45" t="s">
        <v>107</v>
      </c>
      <c r="B45" t="s">
        <v>108</v>
      </c>
      <c r="C45" t="s">
        <v>16</v>
      </c>
      <c r="D45">
        <v>5</v>
      </c>
    </row>
    <row r="46" spans="1:4" x14ac:dyDescent="0.35">
      <c r="A46" t="s">
        <v>109</v>
      </c>
      <c r="B46" t="s">
        <v>110</v>
      </c>
      <c r="C46" t="s">
        <v>16</v>
      </c>
      <c r="D46">
        <v>5</v>
      </c>
    </row>
    <row r="47" spans="1:4" x14ac:dyDescent="0.35">
      <c r="A47" t="s">
        <v>111</v>
      </c>
      <c r="B47" t="s">
        <v>112</v>
      </c>
      <c r="C47" t="s">
        <v>16</v>
      </c>
      <c r="D47">
        <v>5</v>
      </c>
    </row>
    <row r="48" spans="1:4" x14ac:dyDescent="0.35">
      <c r="A48" t="s">
        <v>113</v>
      </c>
      <c r="B48" t="s">
        <v>114</v>
      </c>
      <c r="C48" t="s">
        <v>16</v>
      </c>
      <c r="D48">
        <v>5</v>
      </c>
    </row>
    <row r="49" spans="1:4" x14ac:dyDescent="0.35">
      <c r="A49" t="s">
        <v>115</v>
      </c>
      <c r="B49" t="s">
        <v>116</v>
      </c>
      <c r="C49" t="s">
        <v>16</v>
      </c>
      <c r="D49">
        <v>5</v>
      </c>
    </row>
    <row r="50" spans="1:4" x14ac:dyDescent="0.35">
      <c r="A50" t="s">
        <v>117</v>
      </c>
      <c r="B50" t="s">
        <v>118</v>
      </c>
      <c r="C50" t="s">
        <v>16</v>
      </c>
      <c r="D50">
        <v>5</v>
      </c>
    </row>
    <row r="51" spans="1:4" x14ac:dyDescent="0.35">
      <c r="A51" t="s">
        <v>119</v>
      </c>
      <c r="B51" t="s">
        <v>120</v>
      </c>
      <c r="C51" t="s">
        <v>16</v>
      </c>
      <c r="D51">
        <v>5</v>
      </c>
    </row>
    <row r="52" spans="1:4" x14ac:dyDescent="0.35">
      <c r="A52" t="s">
        <v>121</v>
      </c>
      <c r="B52" t="s">
        <v>122</v>
      </c>
      <c r="C52" t="s">
        <v>16</v>
      </c>
      <c r="D52">
        <v>5</v>
      </c>
    </row>
    <row r="53" spans="1:4" x14ac:dyDescent="0.35">
      <c r="A53" t="s">
        <v>123</v>
      </c>
      <c r="B53" t="s">
        <v>124</v>
      </c>
      <c r="C53" t="s">
        <v>16</v>
      </c>
      <c r="D53">
        <v>5</v>
      </c>
    </row>
    <row r="54" spans="1:4" x14ac:dyDescent="0.35">
      <c r="A54" t="s">
        <v>125</v>
      </c>
      <c r="B54" t="s">
        <v>126</v>
      </c>
      <c r="C54" t="s">
        <v>16</v>
      </c>
      <c r="D54">
        <v>5</v>
      </c>
    </row>
    <row r="55" spans="1:4" x14ac:dyDescent="0.35">
      <c r="A55" t="s">
        <v>127</v>
      </c>
      <c r="B55" t="s">
        <v>128</v>
      </c>
      <c r="C55" t="s">
        <v>16</v>
      </c>
      <c r="D55">
        <v>5</v>
      </c>
    </row>
    <row r="56" spans="1:4" x14ac:dyDescent="0.35">
      <c r="A56" t="s">
        <v>129</v>
      </c>
      <c r="B56" t="s">
        <v>130</v>
      </c>
      <c r="C56" t="s">
        <v>16</v>
      </c>
      <c r="D56">
        <v>5</v>
      </c>
    </row>
    <row r="57" spans="1:4" x14ac:dyDescent="0.35">
      <c r="A57" t="s">
        <v>131</v>
      </c>
      <c r="B57" t="s">
        <v>132</v>
      </c>
      <c r="C57" t="s">
        <v>16</v>
      </c>
      <c r="D57">
        <v>5</v>
      </c>
    </row>
    <row r="58" spans="1:4" x14ac:dyDescent="0.35">
      <c r="A58" t="s">
        <v>133</v>
      </c>
      <c r="B58" t="s">
        <v>134</v>
      </c>
      <c r="C58" t="s">
        <v>16</v>
      </c>
      <c r="D58">
        <v>5</v>
      </c>
    </row>
    <row r="59" spans="1:4" x14ac:dyDescent="0.35">
      <c r="A59" t="s">
        <v>135</v>
      </c>
      <c r="B59" t="s">
        <v>136</v>
      </c>
      <c r="C59" t="s">
        <v>16</v>
      </c>
      <c r="D59">
        <v>5</v>
      </c>
    </row>
    <row r="60" spans="1:4" x14ac:dyDescent="0.35">
      <c r="A60" t="s">
        <v>137</v>
      </c>
      <c r="B60" t="s">
        <v>138</v>
      </c>
      <c r="C60" t="s">
        <v>16</v>
      </c>
      <c r="D60">
        <v>5</v>
      </c>
    </row>
    <row r="61" spans="1:4" x14ac:dyDescent="0.35">
      <c r="A61" t="s">
        <v>139</v>
      </c>
      <c r="B61" t="s">
        <v>140</v>
      </c>
      <c r="C61" t="s">
        <v>16</v>
      </c>
      <c r="D61">
        <v>5</v>
      </c>
    </row>
    <row r="62" spans="1:4" x14ac:dyDescent="0.35">
      <c r="A62" t="s">
        <v>141</v>
      </c>
      <c r="B62" t="s">
        <v>142</v>
      </c>
      <c r="C62" t="s">
        <v>16</v>
      </c>
      <c r="D62">
        <v>5</v>
      </c>
    </row>
    <row r="63" spans="1:4" x14ac:dyDescent="0.35">
      <c r="A63" t="s">
        <v>143</v>
      </c>
      <c r="B63" t="s">
        <v>144</v>
      </c>
      <c r="C63" t="s">
        <v>16</v>
      </c>
      <c r="D63">
        <v>5</v>
      </c>
    </row>
    <row r="64" spans="1:4" x14ac:dyDescent="0.35">
      <c r="A64" t="s">
        <v>145</v>
      </c>
      <c r="B64" t="s">
        <v>146</v>
      </c>
      <c r="C64" t="s">
        <v>16</v>
      </c>
      <c r="D64">
        <v>5</v>
      </c>
    </row>
    <row r="65" spans="1:4" x14ac:dyDescent="0.35">
      <c r="A65" t="s">
        <v>147</v>
      </c>
      <c r="B65" t="s">
        <v>148</v>
      </c>
      <c r="C65" t="s">
        <v>16</v>
      </c>
      <c r="D65">
        <v>5</v>
      </c>
    </row>
    <row r="66" spans="1:4" x14ac:dyDescent="0.35">
      <c r="A66" t="s">
        <v>149</v>
      </c>
      <c r="B66" t="s">
        <v>150</v>
      </c>
      <c r="C66" t="s">
        <v>16</v>
      </c>
      <c r="D66">
        <v>5</v>
      </c>
    </row>
    <row r="67" spans="1:4" x14ac:dyDescent="0.35">
      <c r="A67" t="s">
        <v>151</v>
      </c>
      <c r="B67" t="s">
        <v>152</v>
      </c>
      <c r="C67" t="s">
        <v>16</v>
      </c>
      <c r="D67">
        <v>5</v>
      </c>
    </row>
    <row r="68" spans="1:4" x14ac:dyDescent="0.35">
      <c r="A68" t="s">
        <v>153</v>
      </c>
      <c r="B68" t="s">
        <v>154</v>
      </c>
      <c r="C68" t="s">
        <v>16</v>
      </c>
      <c r="D68">
        <v>5</v>
      </c>
    </row>
    <row r="69" spans="1:4" x14ac:dyDescent="0.35">
      <c r="A69" t="s">
        <v>155</v>
      </c>
      <c r="B69" t="s">
        <v>156</v>
      </c>
      <c r="C69" t="s">
        <v>16</v>
      </c>
      <c r="D69">
        <v>5</v>
      </c>
    </row>
    <row r="70" spans="1:4" x14ac:dyDescent="0.35">
      <c r="A70" t="s">
        <v>157</v>
      </c>
      <c r="B70" t="s">
        <v>158</v>
      </c>
      <c r="C70" t="s">
        <v>16</v>
      </c>
      <c r="D70">
        <v>5</v>
      </c>
    </row>
    <row r="71" spans="1:4" x14ac:dyDescent="0.35">
      <c r="A71" t="s">
        <v>159</v>
      </c>
      <c r="B71" t="s">
        <v>160</v>
      </c>
      <c r="C71" t="s">
        <v>16</v>
      </c>
      <c r="D71">
        <v>5</v>
      </c>
    </row>
    <row r="72" spans="1:4" x14ac:dyDescent="0.35">
      <c r="A72" t="s">
        <v>161</v>
      </c>
      <c r="B72" t="s">
        <v>162</v>
      </c>
      <c r="C72" t="s">
        <v>16</v>
      </c>
      <c r="D72">
        <v>5</v>
      </c>
    </row>
    <row r="73" spans="1:4" x14ac:dyDescent="0.35">
      <c r="A73" t="s">
        <v>163</v>
      </c>
      <c r="B73" t="s">
        <v>164</v>
      </c>
      <c r="C73" t="s">
        <v>16</v>
      </c>
      <c r="D73">
        <v>5</v>
      </c>
    </row>
    <row r="74" spans="1:4" x14ac:dyDescent="0.35">
      <c r="A74" t="s">
        <v>165</v>
      </c>
      <c r="B74" t="s">
        <v>166</v>
      </c>
      <c r="C74" t="s">
        <v>16</v>
      </c>
      <c r="D74">
        <v>5</v>
      </c>
    </row>
    <row r="75" spans="1:4" x14ac:dyDescent="0.35">
      <c r="A75" t="s">
        <v>167</v>
      </c>
      <c r="B75" t="s">
        <v>168</v>
      </c>
      <c r="C75" t="s">
        <v>16</v>
      </c>
      <c r="D75">
        <v>5</v>
      </c>
    </row>
    <row r="76" spans="1:4" x14ac:dyDescent="0.35">
      <c r="A76" t="s">
        <v>169</v>
      </c>
      <c r="B76" t="s">
        <v>170</v>
      </c>
      <c r="C76" t="s">
        <v>16</v>
      </c>
      <c r="D76">
        <v>5</v>
      </c>
    </row>
    <row r="77" spans="1:4" x14ac:dyDescent="0.35">
      <c r="A77" t="s">
        <v>171</v>
      </c>
      <c r="B77" t="s">
        <v>172</v>
      </c>
      <c r="C77" t="s">
        <v>16</v>
      </c>
      <c r="D77">
        <v>5</v>
      </c>
    </row>
    <row r="78" spans="1:4" x14ac:dyDescent="0.35">
      <c r="A78" t="s">
        <v>173</v>
      </c>
      <c r="B78" t="s">
        <v>174</v>
      </c>
      <c r="C78" t="s">
        <v>12</v>
      </c>
      <c r="D78">
        <v>5</v>
      </c>
    </row>
    <row r="79" spans="1:4" x14ac:dyDescent="0.35">
      <c r="A79" t="s">
        <v>175</v>
      </c>
      <c r="B79" t="s">
        <v>176</v>
      </c>
      <c r="C79" t="s">
        <v>12</v>
      </c>
      <c r="D79">
        <v>5</v>
      </c>
    </row>
    <row r="80" spans="1:4" x14ac:dyDescent="0.35">
      <c r="A80" t="s">
        <v>177</v>
      </c>
      <c r="B80" t="s">
        <v>178</v>
      </c>
      <c r="C80" t="s">
        <v>12</v>
      </c>
      <c r="D80">
        <v>5</v>
      </c>
    </row>
    <row r="81" spans="1:4" x14ac:dyDescent="0.35">
      <c r="A81" t="s">
        <v>179</v>
      </c>
      <c r="B81" t="s">
        <v>180</v>
      </c>
      <c r="C81" t="s">
        <v>12</v>
      </c>
      <c r="D81">
        <v>5</v>
      </c>
    </row>
    <row r="82" spans="1:4" x14ac:dyDescent="0.35">
      <c r="A82" t="s">
        <v>181</v>
      </c>
      <c r="B82" t="s">
        <v>182</v>
      </c>
      <c r="C82" t="s">
        <v>12</v>
      </c>
      <c r="D82">
        <v>5</v>
      </c>
    </row>
    <row r="83" spans="1:4" x14ac:dyDescent="0.35">
      <c r="A83" t="s">
        <v>183</v>
      </c>
      <c r="B83" t="s">
        <v>184</v>
      </c>
      <c r="C83" t="s">
        <v>12</v>
      </c>
      <c r="D83">
        <v>5</v>
      </c>
    </row>
    <row r="84" spans="1:4" x14ac:dyDescent="0.35">
      <c r="A84" t="s">
        <v>185</v>
      </c>
      <c r="B84" t="s">
        <v>186</v>
      </c>
      <c r="C84" t="s">
        <v>12</v>
      </c>
      <c r="D84">
        <v>5</v>
      </c>
    </row>
    <row r="85" spans="1:4" x14ac:dyDescent="0.35">
      <c r="A85" t="s">
        <v>187</v>
      </c>
      <c r="B85" t="s">
        <v>188</v>
      </c>
      <c r="C85" t="s">
        <v>12</v>
      </c>
      <c r="D85">
        <v>5</v>
      </c>
    </row>
    <row r="86" spans="1:4" x14ac:dyDescent="0.35">
      <c r="A86" t="s">
        <v>189</v>
      </c>
      <c r="B86" t="s">
        <v>190</v>
      </c>
      <c r="C86" t="s">
        <v>12</v>
      </c>
      <c r="D86">
        <v>5</v>
      </c>
    </row>
    <row r="87" spans="1:4" x14ac:dyDescent="0.35">
      <c r="A87" t="s">
        <v>191</v>
      </c>
      <c r="B87" t="s">
        <v>192</v>
      </c>
      <c r="C87" t="s">
        <v>12</v>
      </c>
      <c r="D87">
        <v>5</v>
      </c>
    </row>
    <row r="88" spans="1:4" x14ac:dyDescent="0.35">
      <c r="A88" t="s">
        <v>193</v>
      </c>
      <c r="B88" t="s">
        <v>194</v>
      </c>
      <c r="C88" t="s">
        <v>12</v>
      </c>
      <c r="D88">
        <v>5</v>
      </c>
    </row>
    <row r="89" spans="1:4" x14ac:dyDescent="0.35">
      <c r="A89" t="s">
        <v>195</v>
      </c>
      <c r="B89" t="s">
        <v>196</v>
      </c>
      <c r="C89" t="s">
        <v>12</v>
      </c>
      <c r="D89">
        <v>5</v>
      </c>
    </row>
    <row r="90" spans="1:4" x14ac:dyDescent="0.35">
      <c r="A90" t="s">
        <v>197</v>
      </c>
      <c r="B90" t="s">
        <v>198</v>
      </c>
      <c r="C90" t="s">
        <v>12</v>
      </c>
      <c r="D90">
        <v>5</v>
      </c>
    </row>
    <row r="91" spans="1:4" x14ac:dyDescent="0.35">
      <c r="A91" t="s">
        <v>199</v>
      </c>
      <c r="B91" t="s">
        <v>200</v>
      </c>
      <c r="C91" t="s">
        <v>12</v>
      </c>
      <c r="D91">
        <v>5</v>
      </c>
    </row>
    <row r="92" spans="1:4" x14ac:dyDescent="0.35">
      <c r="A92" t="s">
        <v>201</v>
      </c>
      <c r="B92" t="s">
        <v>202</v>
      </c>
      <c r="C92" t="s">
        <v>12</v>
      </c>
      <c r="D92">
        <v>5</v>
      </c>
    </row>
    <row r="93" spans="1:4" x14ac:dyDescent="0.35">
      <c r="A93" t="s">
        <v>203</v>
      </c>
      <c r="B93" t="s">
        <v>204</v>
      </c>
      <c r="C93" t="s">
        <v>12</v>
      </c>
      <c r="D93">
        <v>5</v>
      </c>
    </row>
    <row r="94" spans="1:4" x14ac:dyDescent="0.35">
      <c r="A94" t="s">
        <v>205</v>
      </c>
      <c r="B94" t="s">
        <v>206</v>
      </c>
      <c r="C94" t="s">
        <v>12</v>
      </c>
      <c r="D94">
        <v>5</v>
      </c>
    </row>
    <row r="95" spans="1:4" x14ac:dyDescent="0.35">
      <c r="A95" t="s">
        <v>207</v>
      </c>
      <c r="B95" t="s">
        <v>208</v>
      </c>
      <c r="C95" t="s">
        <v>12</v>
      </c>
      <c r="D95">
        <v>5</v>
      </c>
    </row>
    <row r="96" spans="1:4" x14ac:dyDescent="0.35">
      <c r="A96" t="s">
        <v>209</v>
      </c>
      <c r="B96" t="s">
        <v>210</v>
      </c>
      <c r="C96" t="s">
        <v>12</v>
      </c>
      <c r="D96">
        <v>5</v>
      </c>
    </row>
    <row r="97" spans="1:4" x14ac:dyDescent="0.35">
      <c r="A97" t="s">
        <v>211</v>
      </c>
      <c r="B97" t="s">
        <v>212</v>
      </c>
      <c r="C97" t="s">
        <v>12</v>
      </c>
      <c r="D97">
        <v>5</v>
      </c>
    </row>
    <row r="98" spans="1:4" x14ac:dyDescent="0.35">
      <c r="A98" t="s">
        <v>213</v>
      </c>
      <c r="B98" t="s">
        <v>214</v>
      </c>
      <c r="C98" t="s">
        <v>12</v>
      </c>
      <c r="D98">
        <v>5</v>
      </c>
    </row>
    <row r="99" spans="1:4" x14ac:dyDescent="0.35">
      <c r="A99" t="s">
        <v>215</v>
      </c>
      <c r="B99" t="s">
        <v>216</v>
      </c>
      <c r="C99" t="s">
        <v>12</v>
      </c>
      <c r="D99">
        <v>5</v>
      </c>
    </row>
    <row r="100" spans="1:4" x14ac:dyDescent="0.35">
      <c r="A100" t="s">
        <v>217</v>
      </c>
      <c r="B100" t="s">
        <v>218</v>
      </c>
      <c r="C100" t="s">
        <v>12</v>
      </c>
      <c r="D100">
        <v>5</v>
      </c>
    </row>
    <row r="101" spans="1:4" x14ac:dyDescent="0.35">
      <c r="A101" t="s">
        <v>219</v>
      </c>
      <c r="B101" t="s">
        <v>220</v>
      </c>
      <c r="C101" t="s">
        <v>12</v>
      </c>
      <c r="D101">
        <v>5</v>
      </c>
    </row>
    <row r="102" spans="1:4" x14ac:dyDescent="0.35">
      <c r="A102" t="s">
        <v>221</v>
      </c>
      <c r="B102" t="s">
        <v>222</v>
      </c>
      <c r="C102" t="s">
        <v>12</v>
      </c>
      <c r="D102">
        <v>5</v>
      </c>
    </row>
    <row r="103" spans="1:4" x14ac:dyDescent="0.35">
      <c r="A103" t="s">
        <v>223</v>
      </c>
      <c r="B103" t="s">
        <v>224</v>
      </c>
      <c r="C103" t="s">
        <v>12</v>
      </c>
      <c r="D103">
        <v>5</v>
      </c>
    </row>
    <row r="104" spans="1:4" x14ac:dyDescent="0.35">
      <c r="A104" t="s">
        <v>225</v>
      </c>
      <c r="B104" t="s">
        <v>226</v>
      </c>
      <c r="C104" t="s">
        <v>12</v>
      </c>
      <c r="D104">
        <v>5</v>
      </c>
    </row>
    <row r="105" spans="1:4" x14ac:dyDescent="0.35">
      <c r="A105" t="s">
        <v>227</v>
      </c>
      <c r="B105" t="s">
        <v>228</v>
      </c>
      <c r="C105" t="s">
        <v>12</v>
      </c>
      <c r="D105">
        <v>5</v>
      </c>
    </row>
    <row r="106" spans="1:4" x14ac:dyDescent="0.35">
      <c r="A106" t="s">
        <v>229</v>
      </c>
      <c r="B106" t="s">
        <v>230</v>
      </c>
      <c r="C106" t="s">
        <v>12</v>
      </c>
      <c r="D106">
        <v>5</v>
      </c>
    </row>
    <row r="107" spans="1:4" x14ac:dyDescent="0.35">
      <c r="A107" t="s">
        <v>231</v>
      </c>
      <c r="B107" t="s">
        <v>232</v>
      </c>
      <c r="C107" t="s">
        <v>12</v>
      </c>
      <c r="D107">
        <v>5</v>
      </c>
    </row>
    <row r="108" spans="1:4" x14ac:dyDescent="0.35">
      <c r="A108" t="s">
        <v>233</v>
      </c>
      <c r="B108" t="s">
        <v>234</v>
      </c>
      <c r="C108" t="s">
        <v>12</v>
      </c>
      <c r="D108">
        <v>5</v>
      </c>
    </row>
    <row r="109" spans="1:4" x14ac:dyDescent="0.35">
      <c r="A109" t="s">
        <v>235</v>
      </c>
      <c r="B109" t="s">
        <v>236</v>
      </c>
      <c r="C109" t="s">
        <v>12</v>
      </c>
      <c r="D109">
        <v>5</v>
      </c>
    </row>
    <row r="110" spans="1:4" x14ac:dyDescent="0.35">
      <c r="A110" t="s">
        <v>237</v>
      </c>
      <c r="B110" t="s">
        <v>238</v>
      </c>
      <c r="C110" t="s">
        <v>12</v>
      </c>
      <c r="D110">
        <v>5</v>
      </c>
    </row>
    <row r="111" spans="1:4" x14ac:dyDescent="0.35">
      <c r="A111" t="s">
        <v>239</v>
      </c>
      <c r="B111" t="s">
        <v>240</v>
      </c>
      <c r="C111" t="s">
        <v>12</v>
      </c>
      <c r="D111">
        <v>5</v>
      </c>
    </row>
    <row r="112" spans="1:4" x14ac:dyDescent="0.35">
      <c r="A112" t="s">
        <v>241</v>
      </c>
      <c r="B112" t="s">
        <v>242</v>
      </c>
      <c r="C112" t="s">
        <v>12</v>
      </c>
      <c r="D112">
        <v>5</v>
      </c>
    </row>
    <row r="113" spans="1:4" x14ac:dyDescent="0.35">
      <c r="A113" t="s">
        <v>243</v>
      </c>
      <c r="B113" t="s">
        <v>244</v>
      </c>
      <c r="C113" t="s">
        <v>12</v>
      </c>
      <c r="D113">
        <v>5</v>
      </c>
    </row>
    <row r="114" spans="1:4" x14ac:dyDescent="0.35">
      <c r="A114" t="s">
        <v>245</v>
      </c>
      <c r="B114" t="s">
        <v>246</v>
      </c>
      <c r="C114" t="s">
        <v>12</v>
      </c>
      <c r="D114">
        <v>5</v>
      </c>
    </row>
    <row r="115" spans="1:4" x14ac:dyDescent="0.35">
      <c r="A115" t="s">
        <v>247</v>
      </c>
      <c r="B115" t="s">
        <v>248</v>
      </c>
      <c r="C115" t="s">
        <v>12</v>
      </c>
      <c r="D115">
        <v>5</v>
      </c>
    </row>
    <row r="116" spans="1:4" x14ac:dyDescent="0.35">
      <c r="A116" t="s">
        <v>249</v>
      </c>
      <c r="B116" t="s">
        <v>250</v>
      </c>
      <c r="C116" t="s">
        <v>12</v>
      </c>
      <c r="D116">
        <v>5</v>
      </c>
    </row>
    <row r="117" spans="1:4" x14ac:dyDescent="0.35">
      <c r="A117" t="s">
        <v>251</v>
      </c>
      <c r="B117" t="s">
        <v>252</v>
      </c>
      <c r="C117" t="s">
        <v>12</v>
      </c>
      <c r="D117">
        <v>5</v>
      </c>
    </row>
    <row r="118" spans="1:4" x14ac:dyDescent="0.35">
      <c r="A118" t="s">
        <v>253</v>
      </c>
      <c r="B118" t="s">
        <v>254</v>
      </c>
      <c r="C118" t="s">
        <v>12</v>
      </c>
      <c r="D118">
        <v>5</v>
      </c>
    </row>
    <row r="119" spans="1:4" x14ac:dyDescent="0.35">
      <c r="A119" t="s">
        <v>255</v>
      </c>
      <c r="B119" t="s">
        <v>256</v>
      </c>
      <c r="C119" t="s">
        <v>12</v>
      </c>
      <c r="D119">
        <v>5</v>
      </c>
    </row>
    <row r="120" spans="1:4" x14ac:dyDescent="0.35">
      <c r="A120" t="s">
        <v>257</v>
      </c>
      <c r="B120" t="s">
        <v>258</v>
      </c>
      <c r="C120" t="s">
        <v>12</v>
      </c>
      <c r="D120">
        <v>5</v>
      </c>
    </row>
    <row r="121" spans="1:4" x14ac:dyDescent="0.35">
      <c r="A121" t="s">
        <v>259</v>
      </c>
      <c r="B121" t="s">
        <v>260</v>
      </c>
      <c r="C121" t="s">
        <v>12</v>
      </c>
      <c r="D121">
        <v>5</v>
      </c>
    </row>
    <row r="122" spans="1:4" x14ac:dyDescent="0.35">
      <c r="A122" t="s">
        <v>261</v>
      </c>
      <c r="B122" t="s">
        <v>262</v>
      </c>
      <c r="C122" t="s">
        <v>12</v>
      </c>
      <c r="D122">
        <v>5</v>
      </c>
    </row>
    <row r="123" spans="1:4" x14ac:dyDescent="0.35">
      <c r="A123" t="s">
        <v>263</v>
      </c>
      <c r="B123" t="s">
        <v>264</v>
      </c>
      <c r="C123" t="s">
        <v>12</v>
      </c>
      <c r="D123">
        <v>5</v>
      </c>
    </row>
    <row r="124" spans="1:4" x14ac:dyDescent="0.35">
      <c r="A124" t="s">
        <v>265</v>
      </c>
      <c r="B124" t="s">
        <v>266</v>
      </c>
      <c r="C124" t="s">
        <v>12</v>
      </c>
      <c r="D124">
        <v>5</v>
      </c>
    </row>
    <row r="125" spans="1:4" x14ac:dyDescent="0.35">
      <c r="A125" t="s">
        <v>267</v>
      </c>
      <c r="B125" t="s">
        <v>268</v>
      </c>
      <c r="C125" t="s">
        <v>12</v>
      </c>
      <c r="D125">
        <v>5</v>
      </c>
    </row>
    <row r="126" spans="1:4" x14ac:dyDescent="0.35">
      <c r="A126" t="s">
        <v>269</v>
      </c>
      <c r="B126" t="s">
        <v>270</v>
      </c>
      <c r="C126" t="s">
        <v>12</v>
      </c>
      <c r="D126">
        <v>5</v>
      </c>
    </row>
    <row r="127" spans="1:4" x14ac:dyDescent="0.35">
      <c r="A127" t="s">
        <v>271</v>
      </c>
      <c r="B127" t="s">
        <v>272</v>
      </c>
      <c r="C127" t="s">
        <v>12</v>
      </c>
      <c r="D127">
        <v>5</v>
      </c>
    </row>
    <row r="128" spans="1:4" x14ac:dyDescent="0.35">
      <c r="A128" t="s">
        <v>273</v>
      </c>
      <c r="B128" t="s">
        <v>274</v>
      </c>
      <c r="C128" t="s">
        <v>12</v>
      </c>
      <c r="D128">
        <v>5</v>
      </c>
    </row>
    <row r="129" spans="1:4" x14ac:dyDescent="0.35">
      <c r="A129" t="s">
        <v>275</v>
      </c>
      <c r="B129" t="s">
        <v>276</v>
      </c>
      <c r="C129" t="s">
        <v>12</v>
      </c>
      <c r="D129">
        <v>5</v>
      </c>
    </row>
    <row r="130" spans="1:4" x14ac:dyDescent="0.35">
      <c r="A130" t="s">
        <v>277</v>
      </c>
      <c r="B130" t="s">
        <v>278</v>
      </c>
      <c r="C130" t="s">
        <v>12</v>
      </c>
      <c r="D130">
        <v>5</v>
      </c>
    </row>
    <row r="131" spans="1:4" x14ac:dyDescent="0.35">
      <c r="A131" t="s">
        <v>279</v>
      </c>
      <c r="B131" t="s">
        <v>280</v>
      </c>
      <c r="C131" t="s">
        <v>12</v>
      </c>
      <c r="D131">
        <v>5</v>
      </c>
    </row>
    <row r="132" spans="1:4" x14ac:dyDescent="0.35">
      <c r="A132" t="s">
        <v>281</v>
      </c>
      <c r="B132" t="s">
        <v>282</v>
      </c>
      <c r="C132" t="s">
        <v>12</v>
      </c>
      <c r="D132">
        <v>5</v>
      </c>
    </row>
    <row r="133" spans="1:4" x14ac:dyDescent="0.35">
      <c r="A133" t="s">
        <v>283</v>
      </c>
      <c r="B133" t="s">
        <v>284</v>
      </c>
      <c r="C133" t="s">
        <v>12</v>
      </c>
      <c r="D133">
        <v>5</v>
      </c>
    </row>
    <row r="134" spans="1:4" x14ac:dyDescent="0.35">
      <c r="A134" t="s">
        <v>285</v>
      </c>
      <c r="B134" t="s">
        <v>286</v>
      </c>
      <c r="C134" t="s">
        <v>12</v>
      </c>
      <c r="D134">
        <v>5</v>
      </c>
    </row>
    <row r="135" spans="1:4" x14ac:dyDescent="0.35">
      <c r="A135" t="s">
        <v>287</v>
      </c>
      <c r="B135" t="s">
        <v>288</v>
      </c>
      <c r="C135" t="s">
        <v>12</v>
      </c>
      <c r="D135">
        <v>5</v>
      </c>
    </row>
    <row r="136" spans="1:4" x14ac:dyDescent="0.35">
      <c r="A136" t="s">
        <v>289</v>
      </c>
      <c r="B136" t="s">
        <v>290</v>
      </c>
      <c r="C136" t="s">
        <v>12</v>
      </c>
      <c r="D136">
        <v>5</v>
      </c>
    </row>
    <row r="137" spans="1:4" x14ac:dyDescent="0.35">
      <c r="A137" t="s">
        <v>291</v>
      </c>
      <c r="B137" t="s">
        <v>292</v>
      </c>
      <c r="C137" t="s">
        <v>15</v>
      </c>
      <c r="D137">
        <v>5</v>
      </c>
    </row>
    <row r="138" spans="1:4" x14ac:dyDescent="0.35">
      <c r="A138" t="s">
        <v>293</v>
      </c>
      <c r="B138" t="s">
        <v>294</v>
      </c>
      <c r="C138" t="s">
        <v>15</v>
      </c>
      <c r="D138">
        <v>5</v>
      </c>
    </row>
    <row r="139" spans="1:4" x14ac:dyDescent="0.35">
      <c r="A139" t="s">
        <v>295</v>
      </c>
      <c r="B139" t="s">
        <v>296</v>
      </c>
      <c r="C139" t="s">
        <v>15</v>
      </c>
      <c r="D139">
        <v>5</v>
      </c>
    </row>
    <row r="140" spans="1:4" x14ac:dyDescent="0.35">
      <c r="A140" t="s">
        <v>297</v>
      </c>
      <c r="B140" t="s">
        <v>298</v>
      </c>
      <c r="C140" t="s">
        <v>15</v>
      </c>
      <c r="D140">
        <v>5</v>
      </c>
    </row>
    <row r="141" spans="1:4" x14ac:dyDescent="0.35">
      <c r="A141" t="s">
        <v>299</v>
      </c>
      <c r="B141" t="s">
        <v>300</v>
      </c>
      <c r="C141" t="s">
        <v>15</v>
      </c>
      <c r="D141">
        <v>5</v>
      </c>
    </row>
    <row r="142" spans="1:4" x14ac:dyDescent="0.35">
      <c r="A142" t="s">
        <v>301</v>
      </c>
      <c r="B142" t="s">
        <v>302</v>
      </c>
      <c r="C142" t="s">
        <v>15</v>
      </c>
      <c r="D142">
        <v>5</v>
      </c>
    </row>
    <row r="143" spans="1:4" x14ac:dyDescent="0.35">
      <c r="A143" t="s">
        <v>303</v>
      </c>
      <c r="B143" t="s">
        <v>304</v>
      </c>
      <c r="C143" t="s">
        <v>15</v>
      </c>
      <c r="D143">
        <v>5</v>
      </c>
    </row>
    <row r="144" spans="1:4" x14ac:dyDescent="0.35">
      <c r="A144" t="s">
        <v>305</v>
      </c>
      <c r="B144" t="s">
        <v>306</v>
      </c>
      <c r="C144" t="s">
        <v>15</v>
      </c>
      <c r="D144">
        <v>5</v>
      </c>
    </row>
    <row r="145" spans="1:4" x14ac:dyDescent="0.35">
      <c r="A145" t="s">
        <v>307</v>
      </c>
      <c r="B145" t="s">
        <v>308</v>
      </c>
      <c r="C145" t="s">
        <v>15</v>
      </c>
      <c r="D145">
        <v>5</v>
      </c>
    </row>
    <row r="146" spans="1:4" x14ac:dyDescent="0.35">
      <c r="A146" t="s">
        <v>309</v>
      </c>
      <c r="B146" t="s">
        <v>310</v>
      </c>
      <c r="C146" t="s">
        <v>15</v>
      </c>
      <c r="D146">
        <v>5</v>
      </c>
    </row>
    <row r="147" spans="1:4" x14ac:dyDescent="0.35">
      <c r="A147" t="s">
        <v>311</v>
      </c>
      <c r="B147" t="s">
        <v>312</v>
      </c>
      <c r="C147" t="s">
        <v>15</v>
      </c>
      <c r="D147">
        <v>5</v>
      </c>
    </row>
    <row r="148" spans="1:4" x14ac:dyDescent="0.35">
      <c r="A148" t="s">
        <v>313</v>
      </c>
      <c r="B148" t="s">
        <v>314</v>
      </c>
      <c r="C148" t="s">
        <v>15</v>
      </c>
      <c r="D148">
        <v>5</v>
      </c>
    </row>
    <row r="149" spans="1:4" x14ac:dyDescent="0.35">
      <c r="A149" t="s">
        <v>315</v>
      </c>
      <c r="B149" t="s">
        <v>316</v>
      </c>
      <c r="C149" t="s">
        <v>15</v>
      </c>
      <c r="D149">
        <v>5</v>
      </c>
    </row>
    <row r="150" spans="1:4" x14ac:dyDescent="0.35">
      <c r="A150" t="s">
        <v>317</v>
      </c>
      <c r="B150" t="s">
        <v>318</v>
      </c>
      <c r="C150" t="s">
        <v>15</v>
      </c>
      <c r="D150">
        <v>5</v>
      </c>
    </row>
    <row r="151" spans="1:4" x14ac:dyDescent="0.35">
      <c r="A151" t="s">
        <v>319</v>
      </c>
      <c r="B151" t="s">
        <v>320</v>
      </c>
      <c r="C151" t="s">
        <v>15</v>
      </c>
      <c r="D151">
        <v>5</v>
      </c>
    </row>
    <row r="152" spans="1:4" x14ac:dyDescent="0.35">
      <c r="A152" t="s">
        <v>321</v>
      </c>
      <c r="B152" t="s">
        <v>322</v>
      </c>
      <c r="C152" t="s">
        <v>15</v>
      </c>
      <c r="D152">
        <v>5</v>
      </c>
    </row>
    <row r="153" spans="1:4" x14ac:dyDescent="0.35">
      <c r="A153" t="s">
        <v>323</v>
      </c>
      <c r="B153" t="s">
        <v>324</v>
      </c>
      <c r="C153" t="s">
        <v>15</v>
      </c>
      <c r="D153">
        <v>5</v>
      </c>
    </row>
    <row r="154" spans="1:4" x14ac:dyDescent="0.35">
      <c r="A154" t="s">
        <v>325</v>
      </c>
      <c r="B154" t="s">
        <v>326</v>
      </c>
      <c r="C154" t="s">
        <v>15</v>
      </c>
      <c r="D154">
        <v>5</v>
      </c>
    </row>
    <row r="155" spans="1:4" x14ac:dyDescent="0.35">
      <c r="A155" t="s">
        <v>327</v>
      </c>
      <c r="B155" t="s">
        <v>328</v>
      </c>
      <c r="C155" t="s">
        <v>15</v>
      </c>
      <c r="D155">
        <v>5</v>
      </c>
    </row>
    <row r="156" spans="1:4" x14ac:dyDescent="0.35">
      <c r="A156" t="s">
        <v>329</v>
      </c>
      <c r="B156" t="s">
        <v>330</v>
      </c>
      <c r="C156" t="s">
        <v>15</v>
      </c>
      <c r="D156">
        <v>5</v>
      </c>
    </row>
    <row r="157" spans="1:4" x14ac:dyDescent="0.35">
      <c r="A157" t="s">
        <v>331</v>
      </c>
      <c r="B157" t="s">
        <v>332</v>
      </c>
      <c r="C157" t="s">
        <v>15</v>
      </c>
      <c r="D157">
        <v>5</v>
      </c>
    </row>
    <row r="158" spans="1:4" x14ac:dyDescent="0.35">
      <c r="A158" t="s">
        <v>333</v>
      </c>
      <c r="B158" t="s">
        <v>334</v>
      </c>
      <c r="C158" t="s">
        <v>15</v>
      </c>
      <c r="D158">
        <v>5</v>
      </c>
    </row>
    <row r="159" spans="1:4" x14ac:dyDescent="0.35">
      <c r="A159" t="s">
        <v>335</v>
      </c>
      <c r="B159" t="s">
        <v>336</v>
      </c>
      <c r="C159" t="s">
        <v>15</v>
      </c>
      <c r="D159">
        <v>5</v>
      </c>
    </row>
    <row r="160" spans="1:4" x14ac:dyDescent="0.35">
      <c r="A160" t="s">
        <v>337</v>
      </c>
      <c r="B160" t="s">
        <v>338</v>
      </c>
      <c r="C160" t="s">
        <v>15</v>
      </c>
      <c r="D160">
        <v>5</v>
      </c>
    </row>
    <row r="161" spans="1:4" x14ac:dyDescent="0.35">
      <c r="A161" t="s">
        <v>339</v>
      </c>
      <c r="B161" t="s">
        <v>340</v>
      </c>
      <c r="C161" t="s">
        <v>15</v>
      </c>
      <c r="D161">
        <v>5</v>
      </c>
    </row>
    <row r="162" spans="1:4" x14ac:dyDescent="0.35">
      <c r="A162" t="s">
        <v>341</v>
      </c>
      <c r="B162" t="s">
        <v>342</v>
      </c>
      <c r="C162" t="s">
        <v>15</v>
      </c>
      <c r="D162">
        <v>5</v>
      </c>
    </row>
    <row r="163" spans="1:4" x14ac:dyDescent="0.35">
      <c r="A163" t="s">
        <v>343</v>
      </c>
      <c r="B163" t="s">
        <v>344</v>
      </c>
      <c r="C163" t="s">
        <v>15</v>
      </c>
      <c r="D163">
        <v>5</v>
      </c>
    </row>
    <row r="164" spans="1:4" x14ac:dyDescent="0.35">
      <c r="A164" t="s">
        <v>345</v>
      </c>
      <c r="B164" t="s">
        <v>346</v>
      </c>
      <c r="C164" t="s">
        <v>15</v>
      </c>
      <c r="D164">
        <v>5</v>
      </c>
    </row>
    <row r="165" spans="1:4" x14ac:dyDescent="0.35">
      <c r="A165" t="s">
        <v>347</v>
      </c>
      <c r="B165" t="s">
        <v>348</v>
      </c>
      <c r="C165" t="s">
        <v>15</v>
      </c>
      <c r="D165">
        <v>5</v>
      </c>
    </row>
    <row r="166" spans="1:4" x14ac:dyDescent="0.35">
      <c r="A166" t="s">
        <v>349</v>
      </c>
      <c r="B166" t="s">
        <v>350</v>
      </c>
      <c r="C166" t="s">
        <v>15</v>
      </c>
      <c r="D166">
        <v>5</v>
      </c>
    </row>
    <row r="167" spans="1:4" x14ac:dyDescent="0.35">
      <c r="A167" t="s">
        <v>351</v>
      </c>
      <c r="B167" t="s">
        <v>352</v>
      </c>
      <c r="C167" t="s">
        <v>15</v>
      </c>
      <c r="D167">
        <v>5</v>
      </c>
    </row>
    <row r="168" spans="1:4" x14ac:dyDescent="0.35">
      <c r="A168" t="s">
        <v>353</v>
      </c>
      <c r="B168" t="s">
        <v>354</v>
      </c>
      <c r="C168" t="s">
        <v>15</v>
      </c>
      <c r="D168">
        <v>5</v>
      </c>
    </row>
    <row r="169" spans="1:4" x14ac:dyDescent="0.35">
      <c r="A169" t="s">
        <v>355</v>
      </c>
      <c r="B169" t="s">
        <v>356</v>
      </c>
      <c r="C169" t="s">
        <v>15</v>
      </c>
      <c r="D169">
        <v>5</v>
      </c>
    </row>
    <row r="170" spans="1:4" x14ac:dyDescent="0.35">
      <c r="A170" t="s">
        <v>357</v>
      </c>
      <c r="B170" t="s">
        <v>358</v>
      </c>
      <c r="C170" t="s">
        <v>15</v>
      </c>
      <c r="D170">
        <v>5</v>
      </c>
    </row>
    <row r="171" spans="1:4" x14ac:dyDescent="0.35">
      <c r="A171" t="s">
        <v>359</v>
      </c>
      <c r="B171" t="s">
        <v>360</v>
      </c>
      <c r="C171" t="s">
        <v>15</v>
      </c>
      <c r="D171">
        <v>5</v>
      </c>
    </row>
    <row r="172" spans="1:4" x14ac:dyDescent="0.35">
      <c r="A172" t="s">
        <v>361</v>
      </c>
      <c r="B172" t="s">
        <v>362</v>
      </c>
      <c r="C172" t="s">
        <v>15</v>
      </c>
      <c r="D172">
        <v>5</v>
      </c>
    </row>
    <row r="173" spans="1:4" x14ac:dyDescent="0.35">
      <c r="A173" t="s">
        <v>363</v>
      </c>
      <c r="B173" t="s">
        <v>364</v>
      </c>
      <c r="C173" t="s">
        <v>15</v>
      </c>
      <c r="D173">
        <v>5</v>
      </c>
    </row>
    <row r="174" spans="1:4" x14ac:dyDescent="0.35">
      <c r="A174" t="s">
        <v>365</v>
      </c>
      <c r="B174" t="s">
        <v>366</v>
      </c>
      <c r="C174" t="s">
        <v>15</v>
      </c>
      <c r="D174">
        <v>5</v>
      </c>
    </row>
    <row r="175" spans="1:4" x14ac:dyDescent="0.35">
      <c r="A175" t="s">
        <v>367</v>
      </c>
      <c r="B175" t="s">
        <v>368</v>
      </c>
      <c r="C175" t="s">
        <v>15</v>
      </c>
      <c r="D175">
        <v>5</v>
      </c>
    </row>
    <row r="176" spans="1:4" x14ac:dyDescent="0.35">
      <c r="A176" t="s">
        <v>369</v>
      </c>
      <c r="B176" t="s">
        <v>370</v>
      </c>
      <c r="C176" t="s">
        <v>15</v>
      </c>
      <c r="D176">
        <v>5</v>
      </c>
    </row>
    <row r="177" spans="1:4" x14ac:dyDescent="0.35">
      <c r="A177" t="s">
        <v>371</v>
      </c>
      <c r="B177" t="s">
        <v>372</v>
      </c>
      <c r="C177" t="s">
        <v>15</v>
      </c>
      <c r="D177">
        <v>5</v>
      </c>
    </row>
    <row r="178" spans="1:4" x14ac:dyDescent="0.35">
      <c r="A178" t="s">
        <v>373</v>
      </c>
      <c r="B178" t="s">
        <v>374</v>
      </c>
      <c r="C178" t="s">
        <v>15</v>
      </c>
      <c r="D178">
        <v>5</v>
      </c>
    </row>
    <row r="179" spans="1:4" x14ac:dyDescent="0.35">
      <c r="A179" t="s">
        <v>375</v>
      </c>
      <c r="B179" t="s">
        <v>376</v>
      </c>
      <c r="C179" t="s">
        <v>15</v>
      </c>
      <c r="D179">
        <v>5</v>
      </c>
    </row>
    <row r="180" spans="1:4" x14ac:dyDescent="0.35">
      <c r="A180" t="s">
        <v>377</v>
      </c>
      <c r="B180" t="s">
        <v>378</v>
      </c>
      <c r="C180" t="s">
        <v>15</v>
      </c>
      <c r="D180">
        <v>5</v>
      </c>
    </row>
    <row r="181" spans="1:4" x14ac:dyDescent="0.35">
      <c r="A181" t="s">
        <v>379</v>
      </c>
      <c r="B181" t="s">
        <v>380</v>
      </c>
      <c r="C181" t="s">
        <v>15</v>
      </c>
      <c r="D181">
        <v>5</v>
      </c>
    </row>
    <row r="182" spans="1:4" x14ac:dyDescent="0.35">
      <c r="A182" t="s">
        <v>381</v>
      </c>
      <c r="B182" t="s">
        <v>382</v>
      </c>
      <c r="C182" t="s">
        <v>15</v>
      </c>
      <c r="D182">
        <v>5</v>
      </c>
    </row>
    <row r="183" spans="1:4" x14ac:dyDescent="0.35">
      <c r="A183" t="s">
        <v>383</v>
      </c>
      <c r="B183" t="s">
        <v>384</v>
      </c>
      <c r="C183" t="s">
        <v>15</v>
      </c>
      <c r="D183">
        <v>5</v>
      </c>
    </row>
    <row r="184" spans="1:4" x14ac:dyDescent="0.35">
      <c r="A184" t="s">
        <v>385</v>
      </c>
      <c r="B184" t="s">
        <v>386</v>
      </c>
      <c r="C184" t="s">
        <v>15</v>
      </c>
      <c r="D184">
        <v>5</v>
      </c>
    </row>
    <row r="185" spans="1:4" x14ac:dyDescent="0.35">
      <c r="A185" t="s">
        <v>387</v>
      </c>
      <c r="B185" t="s">
        <v>388</v>
      </c>
      <c r="C185" t="s">
        <v>15</v>
      </c>
      <c r="D185">
        <v>5</v>
      </c>
    </row>
    <row r="186" spans="1:4" x14ac:dyDescent="0.35">
      <c r="A186" t="s">
        <v>389</v>
      </c>
      <c r="B186" t="s">
        <v>390</v>
      </c>
      <c r="C186" t="s">
        <v>15</v>
      </c>
      <c r="D186">
        <v>5</v>
      </c>
    </row>
    <row r="187" spans="1:4" x14ac:dyDescent="0.35">
      <c r="A187" t="s">
        <v>391</v>
      </c>
      <c r="B187" t="s">
        <v>392</v>
      </c>
      <c r="C187" t="s">
        <v>15</v>
      </c>
      <c r="D187">
        <v>5</v>
      </c>
    </row>
    <row r="188" spans="1:4" x14ac:dyDescent="0.35">
      <c r="A188" t="s">
        <v>393</v>
      </c>
      <c r="B188" t="s">
        <v>394</v>
      </c>
      <c r="C188" t="s">
        <v>15</v>
      </c>
      <c r="D188">
        <v>5</v>
      </c>
    </row>
    <row r="189" spans="1:4" x14ac:dyDescent="0.35">
      <c r="A189" t="s">
        <v>395</v>
      </c>
      <c r="B189" t="s">
        <v>396</v>
      </c>
      <c r="C189" t="s">
        <v>15</v>
      </c>
      <c r="D189">
        <v>5</v>
      </c>
    </row>
    <row r="190" spans="1:4" x14ac:dyDescent="0.35">
      <c r="A190" t="s">
        <v>397</v>
      </c>
      <c r="B190" t="s">
        <v>398</v>
      </c>
      <c r="C190" t="s">
        <v>15</v>
      </c>
      <c r="D190">
        <v>5</v>
      </c>
    </row>
    <row r="191" spans="1:4" x14ac:dyDescent="0.35">
      <c r="A191" t="s">
        <v>399</v>
      </c>
      <c r="B191" t="s">
        <v>400</v>
      </c>
      <c r="C191" t="s">
        <v>15</v>
      </c>
      <c r="D191">
        <v>5</v>
      </c>
    </row>
    <row r="192" spans="1:4" x14ac:dyDescent="0.35">
      <c r="A192" t="s">
        <v>401</v>
      </c>
      <c r="B192" t="s">
        <v>402</v>
      </c>
      <c r="C192" t="s">
        <v>15</v>
      </c>
      <c r="D192">
        <v>5</v>
      </c>
    </row>
    <row r="193" spans="1:4" x14ac:dyDescent="0.35">
      <c r="A193" t="s">
        <v>403</v>
      </c>
      <c r="B193" t="s">
        <v>404</v>
      </c>
      <c r="C193" t="s">
        <v>15</v>
      </c>
      <c r="D193">
        <v>5</v>
      </c>
    </row>
    <row r="194" spans="1:4" x14ac:dyDescent="0.35">
      <c r="A194" t="s">
        <v>405</v>
      </c>
      <c r="B194" t="s">
        <v>406</v>
      </c>
      <c r="C194" t="s">
        <v>15</v>
      </c>
      <c r="D194">
        <v>5</v>
      </c>
    </row>
    <row r="195" spans="1:4" x14ac:dyDescent="0.35">
      <c r="A195" t="s">
        <v>407</v>
      </c>
      <c r="B195" t="s">
        <v>408</v>
      </c>
      <c r="C195" t="s">
        <v>15</v>
      </c>
      <c r="D195">
        <v>5</v>
      </c>
    </row>
    <row r="196" spans="1:4" x14ac:dyDescent="0.35">
      <c r="A196" t="s">
        <v>409</v>
      </c>
      <c r="B196" t="s">
        <v>410</v>
      </c>
      <c r="C196" t="s">
        <v>15</v>
      </c>
      <c r="D196">
        <v>5</v>
      </c>
    </row>
    <row r="197" spans="1:4" x14ac:dyDescent="0.35">
      <c r="A197" t="s">
        <v>411</v>
      </c>
      <c r="B197" t="s">
        <v>412</v>
      </c>
      <c r="C197" t="s">
        <v>15</v>
      </c>
      <c r="D197">
        <v>5</v>
      </c>
    </row>
    <row r="198" spans="1:4" x14ac:dyDescent="0.35">
      <c r="A198" t="s">
        <v>413</v>
      </c>
      <c r="B198" t="s">
        <v>414</v>
      </c>
      <c r="C198" t="s">
        <v>15</v>
      </c>
      <c r="D198">
        <v>5</v>
      </c>
    </row>
    <row r="199" spans="1:4" x14ac:dyDescent="0.35">
      <c r="A199" t="s">
        <v>415</v>
      </c>
      <c r="B199" t="s">
        <v>416</v>
      </c>
      <c r="C199" t="s">
        <v>15</v>
      </c>
      <c r="D199">
        <v>5</v>
      </c>
    </row>
    <row r="200" spans="1:4" x14ac:dyDescent="0.35">
      <c r="A200" t="s">
        <v>417</v>
      </c>
      <c r="B200" t="s">
        <v>418</v>
      </c>
      <c r="C200" t="s">
        <v>15</v>
      </c>
      <c r="D200">
        <v>5</v>
      </c>
    </row>
    <row r="201" spans="1:4" x14ac:dyDescent="0.35">
      <c r="A201" t="s">
        <v>419</v>
      </c>
      <c r="B201" t="s">
        <v>420</v>
      </c>
      <c r="C201" t="s">
        <v>15</v>
      </c>
      <c r="D201">
        <v>5</v>
      </c>
    </row>
    <row r="202" spans="1:4" x14ac:dyDescent="0.35">
      <c r="A202" t="s">
        <v>421</v>
      </c>
      <c r="B202" t="s">
        <v>422</v>
      </c>
      <c r="C202" t="s">
        <v>15</v>
      </c>
      <c r="D202">
        <v>5</v>
      </c>
    </row>
    <row r="203" spans="1:4" x14ac:dyDescent="0.35">
      <c r="A203" t="s">
        <v>423</v>
      </c>
      <c r="B203" t="s">
        <v>424</v>
      </c>
      <c r="C203" t="s">
        <v>15</v>
      </c>
      <c r="D203">
        <v>5</v>
      </c>
    </row>
    <row r="204" spans="1:4" x14ac:dyDescent="0.35">
      <c r="A204" t="s">
        <v>425</v>
      </c>
      <c r="B204" t="s">
        <v>426</v>
      </c>
      <c r="C204" t="s">
        <v>15</v>
      </c>
      <c r="D204">
        <v>5</v>
      </c>
    </row>
    <row r="205" spans="1:4" x14ac:dyDescent="0.35">
      <c r="A205" t="s">
        <v>427</v>
      </c>
      <c r="B205" t="s">
        <v>428</v>
      </c>
      <c r="C205" t="s">
        <v>12</v>
      </c>
      <c r="D205">
        <v>5</v>
      </c>
    </row>
    <row r="206" spans="1:4" x14ac:dyDescent="0.35">
      <c r="A206" t="s">
        <v>429</v>
      </c>
      <c r="B206" t="s">
        <v>430</v>
      </c>
      <c r="C206" t="s">
        <v>12</v>
      </c>
      <c r="D206">
        <v>5</v>
      </c>
    </row>
    <row r="207" spans="1:4" x14ac:dyDescent="0.35">
      <c r="A207" t="s">
        <v>431</v>
      </c>
      <c r="B207" t="s">
        <v>432</v>
      </c>
      <c r="C207" t="s">
        <v>16</v>
      </c>
      <c r="D207">
        <v>5</v>
      </c>
    </row>
    <row r="208" spans="1:4" x14ac:dyDescent="0.35">
      <c r="A208" t="s">
        <v>433</v>
      </c>
      <c r="B208" t="s">
        <v>434</v>
      </c>
      <c r="C208" t="s">
        <v>16</v>
      </c>
      <c r="D208">
        <v>5</v>
      </c>
    </row>
    <row r="209" spans="1:4" x14ac:dyDescent="0.35">
      <c r="A209" t="s">
        <v>435</v>
      </c>
      <c r="B209" t="s">
        <v>436</v>
      </c>
      <c r="C209" t="s">
        <v>16</v>
      </c>
      <c r="D209">
        <v>5</v>
      </c>
    </row>
    <row r="210" spans="1:4" x14ac:dyDescent="0.35">
      <c r="A210" t="s">
        <v>437</v>
      </c>
      <c r="B210" t="s">
        <v>438</v>
      </c>
      <c r="C210" t="s">
        <v>16</v>
      </c>
      <c r="D210">
        <v>5</v>
      </c>
    </row>
    <row r="211" spans="1:4" x14ac:dyDescent="0.35">
      <c r="A211" t="s">
        <v>439</v>
      </c>
      <c r="B211" t="s">
        <v>440</v>
      </c>
      <c r="C211" t="s">
        <v>16</v>
      </c>
      <c r="D211">
        <v>5</v>
      </c>
    </row>
    <row r="212" spans="1:4" x14ac:dyDescent="0.35">
      <c r="A212" t="s">
        <v>441</v>
      </c>
      <c r="B212" t="s">
        <v>442</v>
      </c>
      <c r="C212" t="s">
        <v>16</v>
      </c>
      <c r="D212">
        <v>5</v>
      </c>
    </row>
    <row r="213" spans="1:4" x14ac:dyDescent="0.35">
      <c r="A213" t="s">
        <v>443</v>
      </c>
      <c r="B213" t="s">
        <v>444</v>
      </c>
      <c r="C213" t="s">
        <v>16</v>
      </c>
      <c r="D213">
        <v>5</v>
      </c>
    </row>
    <row r="214" spans="1:4" x14ac:dyDescent="0.35">
      <c r="A214" t="s">
        <v>445</v>
      </c>
      <c r="B214" t="s">
        <v>446</v>
      </c>
      <c r="C214" t="s">
        <v>16</v>
      </c>
      <c r="D214">
        <v>5</v>
      </c>
    </row>
    <row r="215" spans="1:4" x14ac:dyDescent="0.35">
      <c r="A215" t="s">
        <v>447</v>
      </c>
      <c r="B215" t="s">
        <v>448</v>
      </c>
      <c r="C215" t="s">
        <v>16</v>
      </c>
      <c r="D215">
        <v>5</v>
      </c>
    </row>
    <row r="216" spans="1:4" x14ac:dyDescent="0.35">
      <c r="A216" t="s">
        <v>449</v>
      </c>
      <c r="B216" t="s">
        <v>450</v>
      </c>
      <c r="C216" t="s">
        <v>16</v>
      </c>
      <c r="D216">
        <v>5</v>
      </c>
    </row>
    <row r="217" spans="1:4" x14ac:dyDescent="0.35">
      <c r="A217" t="s">
        <v>451</v>
      </c>
      <c r="B217" t="s">
        <v>452</v>
      </c>
      <c r="C217" t="s">
        <v>16</v>
      </c>
      <c r="D217">
        <v>5</v>
      </c>
    </row>
    <row r="218" spans="1:4" x14ac:dyDescent="0.35">
      <c r="A218" t="s">
        <v>453</v>
      </c>
      <c r="B218" t="s">
        <v>454</v>
      </c>
      <c r="C218" t="s">
        <v>16</v>
      </c>
      <c r="D218">
        <v>5</v>
      </c>
    </row>
    <row r="219" spans="1:4" x14ac:dyDescent="0.35">
      <c r="A219" t="s">
        <v>455</v>
      </c>
      <c r="B219" t="s">
        <v>456</v>
      </c>
      <c r="C219" t="s">
        <v>16</v>
      </c>
      <c r="D219">
        <v>5</v>
      </c>
    </row>
    <row r="220" spans="1:4" x14ac:dyDescent="0.35">
      <c r="A220" t="s">
        <v>457</v>
      </c>
      <c r="B220" t="s">
        <v>458</v>
      </c>
      <c r="C220" t="s">
        <v>16</v>
      </c>
      <c r="D220">
        <v>5</v>
      </c>
    </row>
    <row r="221" spans="1:4" x14ac:dyDescent="0.35">
      <c r="A221" t="s">
        <v>459</v>
      </c>
      <c r="B221" t="s">
        <v>460</v>
      </c>
      <c r="C221" t="s">
        <v>16</v>
      </c>
      <c r="D221">
        <v>5</v>
      </c>
    </row>
    <row r="222" spans="1:4" x14ac:dyDescent="0.35">
      <c r="A222" t="s">
        <v>461</v>
      </c>
      <c r="B222" t="s">
        <v>462</v>
      </c>
      <c r="C222" t="s">
        <v>16</v>
      </c>
      <c r="D222">
        <v>5</v>
      </c>
    </row>
    <row r="223" spans="1:4" x14ac:dyDescent="0.35">
      <c r="A223" t="s">
        <v>463</v>
      </c>
      <c r="B223" t="s">
        <v>464</v>
      </c>
      <c r="C223" t="s">
        <v>16</v>
      </c>
      <c r="D223">
        <v>5</v>
      </c>
    </row>
    <row r="224" spans="1:4" x14ac:dyDescent="0.35">
      <c r="A224" t="s">
        <v>465</v>
      </c>
      <c r="B224" t="s">
        <v>466</v>
      </c>
      <c r="C224" t="s">
        <v>16</v>
      </c>
      <c r="D224">
        <v>5</v>
      </c>
    </row>
    <row r="225" spans="1:4" x14ac:dyDescent="0.35">
      <c r="A225" t="s">
        <v>467</v>
      </c>
      <c r="B225" t="s">
        <v>468</v>
      </c>
      <c r="C225" t="s">
        <v>16</v>
      </c>
      <c r="D225">
        <v>5</v>
      </c>
    </row>
    <row r="226" spans="1:4" x14ac:dyDescent="0.35">
      <c r="A226" t="s">
        <v>469</v>
      </c>
      <c r="B226" t="s">
        <v>470</v>
      </c>
      <c r="C226" t="s">
        <v>16</v>
      </c>
      <c r="D226">
        <v>5</v>
      </c>
    </row>
    <row r="227" spans="1:4" x14ac:dyDescent="0.35">
      <c r="A227" t="s">
        <v>471</v>
      </c>
      <c r="B227" t="s">
        <v>472</v>
      </c>
      <c r="C227" t="s">
        <v>16</v>
      </c>
      <c r="D227">
        <v>5</v>
      </c>
    </row>
    <row r="228" spans="1:4" x14ac:dyDescent="0.35">
      <c r="A228" t="s">
        <v>473</v>
      </c>
      <c r="B228" t="s">
        <v>474</v>
      </c>
      <c r="C228" t="s">
        <v>16</v>
      </c>
      <c r="D228">
        <v>5</v>
      </c>
    </row>
    <row r="229" spans="1:4" x14ac:dyDescent="0.35">
      <c r="A229" t="s">
        <v>475</v>
      </c>
      <c r="B229" t="s">
        <v>476</v>
      </c>
      <c r="C229" t="s">
        <v>16</v>
      </c>
      <c r="D229">
        <v>5</v>
      </c>
    </row>
    <row r="230" spans="1:4" x14ac:dyDescent="0.35">
      <c r="A230" t="s">
        <v>477</v>
      </c>
      <c r="B230" t="s">
        <v>478</v>
      </c>
      <c r="C230" t="s">
        <v>16</v>
      </c>
      <c r="D230">
        <v>5</v>
      </c>
    </row>
    <row r="231" spans="1:4" x14ac:dyDescent="0.35">
      <c r="A231" t="s">
        <v>479</v>
      </c>
      <c r="B231" t="s">
        <v>480</v>
      </c>
      <c r="C231" t="s">
        <v>16</v>
      </c>
      <c r="D231">
        <v>5</v>
      </c>
    </row>
    <row r="232" spans="1:4" x14ac:dyDescent="0.35">
      <c r="A232" t="s">
        <v>481</v>
      </c>
      <c r="B232" t="s">
        <v>482</v>
      </c>
      <c r="C232" t="s">
        <v>16</v>
      </c>
      <c r="D232">
        <v>5</v>
      </c>
    </row>
    <row r="233" spans="1:4" x14ac:dyDescent="0.35">
      <c r="A233" t="s">
        <v>483</v>
      </c>
      <c r="B233" t="s">
        <v>484</v>
      </c>
      <c r="C233" t="s">
        <v>16</v>
      </c>
      <c r="D233">
        <v>5</v>
      </c>
    </row>
    <row r="234" spans="1:4" x14ac:dyDescent="0.35">
      <c r="A234" t="s">
        <v>485</v>
      </c>
      <c r="B234" t="s">
        <v>486</v>
      </c>
      <c r="C234" t="s">
        <v>16</v>
      </c>
      <c r="D234">
        <v>5</v>
      </c>
    </row>
    <row r="235" spans="1:4" x14ac:dyDescent="0.35">
      <c r="A235" t="s">
        <v>487</v>
      </c>
      <c r="B235" t="s">
        <v>488</v>
      </c>
      <c r="C235" t="s">
        <v>16</v>
      </c>
      <c r="D235">
        <v>5</v>
      </c>
    </row>
    <row r="236" spans="1:4" x14ac:dyDescent="0.35">
      <c r="A236" t="s">
        <v>489</v>
      </c>
      <c r="B236" t="s">
        <v>490</v>
      </c>
      <c r="C236" t="s">
        <v>16</v>
      </c>
      <c r="D236">
        <v>5</v>
      </c>
    </row>
    <row r="237" spans="1:4" x14ac:dyDescent="0.35">
      <c r="A237" t="s">
        <v>491</v>
      </c>
      <c r="B237" t="s">
        <v>492</v>
      </c>
      <c r="C237" t="s">
        <v>16</v>
      </c>
      <c r="D237">
        <v>5</v>
      </c>
    </row>
    <row r="238" spans="1:4" x14ac:dyDescent="0.35">
      <c r="A238" t="s">
        <v>493</v>
      </c>
      <c r="B238" t="s">
        <v>494</v>
      </c>
      <c r="C238" t="s">
        <v>16</v>
      </c>
      <c r="D238">
        <v>5</v>
      </c>
    </row>
    <row r="239" spans="1:4" x14ac:dyDescent="0.35">
      <c r="A239" t="s">
        <v>495</v>
      </c>
      <c r="B239" t="s">
        <v>496</v>
      </c>
      <c r="C239" t="s">
        <v>16</v>
      </c>
      <c r="D239">
        <v>5</v>
      </c>
    </row>
    <row r="240" spans="1:4" x14ac:dyDescent="0.35">
      <c r="A240" t="s">
        <v>497</v>
      </c>
      <c r="B240" t="s">
        <v>498</v>
      </c>
      <c r="C240" t="s">
        <v>16</v>
      </c>
      <c r="D240">
        <v>5</v>
      </c>
    </row>
    <row r="241" spans="1:4" x14ac:dyDescent="0.35">
      <c r="A241" t="s">
        <v>499</v>
      </c>
      <c r="B241" t="s">
        <v>500</v>
      </c>
      <c r="C241" t="s">
        <v>16</v>
      </c>
      <c r="D241">
        <v>5</v>
      </c>
    </row>
    <row r="242" spans="1:4" x14ac:dyDescent="0.35">
      <c r="A242" t="s">
        <v>501</v>
      </c>
      <c r="B242" t="s">
        <v>502</v>
      </c>
      <c r="C242" t="s">
        <v>16</v>
      </c>
      <c r="D242">
        <v>5</v>
      </c>
    </row>
    <row r="243" spans="1:4" x14ac:dyDescent="0.35">
      <c r="A243" t="s">
        <v>503</v>
      </c>
      <c r="B243" t="s">
        <v>504</v>
      </c>
      <c r="C243" t="s">
        <v>16</v>
      </c>
      <c r="D243">
        <v>5</v>
      </c>
    </row>
    <row r="244" spans="1:4" x14ac:dyDescent="0.35">
      <c r="A244" t="s">
        <v>505</v>
      </c>
      <c r="B244" t="s">
        <v>506</v>
      </c>
      <c r="C244" t="s">
        <v>16</v>
      </c>
      <c r="D244">
        <v>5</v>
      </c>
    </row>
    <row r="245" spans="1:4" x14ac:dyDescent="0.35">
      <c r="A245" t="s">
        <v>507</v>
      </c>
      <c r="B245" t="s">
        <v>508</v>
      </c>
      <c r="C245" t="s">
        <v>16</v>
      </c>
      <c r="D245">
        <v>5</v>
      </c>
    </row>
    <row r="246" spans="1:4" x14ac:dyDescent="0.35">
      <c r="A246" t="s">
        <v>509</v>
      </c>
      <c r="B246" t="s">
        <v>510</v>
      </c>
      <c r="C246" t="s">
        <v>16</v>
      </c>
      <c r="D246">
        <v>5</v>
      </c>
    </row>
    <row r="247" spans="1:4" x14ac:dyDescent="0.35">
      <c r="A247" t="s">
        <v>511</v>
      </c>
      <c r="B247" t="s">
        <v>512</v>
      </c>
      <c r="C247" t="s">
        <v>16</v>
      </c>
      <c r="D247">
        <v>5</v>
      </c>
    </row>
    <row r="248" spans="1:4" x14ac:dyDescent="0.35">
      <c r="A248" t="s">
        <v>513</v>
      </c>
      <c r="B248" t="s">
        <v>514</v>
      </c>
      <c r="C248" t="s">
        <v>16</v>
      </c>
      <c r="D248">
        <v>5</v>
      </c>
    </row>
    <row r="249" spans="1:4" x14ac:dyDescent="0.35">
      <c r="A249" t="s">
        <v>515</v>
      </c>
      <c r="B249" t="s">
        <v>516</v>
      </c>
      <c r="C249" t="s">
        <v>16</v>
      </c>
      <c r="D249">
        <v>5</v>
      </c>
    </row>
    <row r="250" spans="1:4" x14ac:dyDescent="0.35">
      <c r="A250" t="s">
        <v>517</v>
      </c>
      <c r="B250" t="s">
        <v>518</v>
      </c>
      <c r="C250" t="s">
        <v>16</v>
      </c>
      <c r="D250">
        <v>5</v>
      </c>
    </row>
    <row r="251" spans="1:4" x14ac:dyDescent="0.35">
      <c r="A251" t="s">
        <v>519</v>
      </c>
      <c r="B251" t="s">
        <v>520</v>
      </c>
      <c r="C251" t="s">
        <v>16</v>
      </c>
      <c r="D251">
        <v>5</v>
      </c>
    </row>
    <row r="252" spans="1:4" x14ac:dyDescent="0.35">
      <c r="A252" t="s">
        <v>521</v>
      </c>
      <c r="B252" t="s">
        <v>522</v>
      </c>
      <c r="C252" t="s">
        <v>16</v>
      </c>
      <c r="D252">
        <v>5</v>
      </c>
    </row>
    <row r="253" spans="1:4" x14ac:dyDescent="0.35">
      <c r="A253" t="s">
        <v>523</v>
      </c>
      <c r="B253" t="s">
        <v>524</v>
      </c>
      <c r="C253" t="s">
        <v>16</v>
      </c>
      <c r="D253">
        <v>5</v>
      </c>
    </row>
    <row r="254" spans="1:4" x14ac:dyDescent="0.35">
      <c r="A254" t="s">
        <v>525</v>
      </c>
      <c r="B254" t="s">
        <v>526</v>
      </c>
      <c r="C254" t="s">
        <v>16</v>
      </c>
      <c r="D254">
        <v>5</v>
      </c>
    </row>
    <row r="255" spans="1:4" x14ac:dyDescent="0.35">
      <c r="A255" t="s">
        <v>527</v>
      </c>
      <c r="B255" t="s">
        <v>528</v>
      </c>
      <c r="C255" t="s">
        <v>16</v>
      </c>
      <c r="D255">
        <v>5</v>
      </c>
    </row>
    <row r="256" spans="1:4" x14ac:dyDescent="0.35">
      <c r="A256" t="s">
        <v>529</v>
      </c>
      <c r="B256" t="s">
        <v>530</v>
      </c>
      <c r="C256" t="s">
        <v>16</v>
      </c>
      <c r="D256">
        <v>5</v>
      </c>
    </row>
    <row r="257" spans="1:4" x14ac:dyDescent="0.35">
      <c r="A257" t="s">
        <v>531</v>
      </c>
      <c r="B257" t="s">
        <v>532</v>
      </c>
      <c r="C257" t="s">
        <v>16</v>
      </c>
      <c r="D257">
        <v>5</v>
      </c>
    </row>
    <row r="258" spans="1:4" x14ac:dyDescent="0.35">
      <c r="A258" t="s">
        <v>533</v>
      </c>
      <c r="B258" t="s">
        <v>534</v>
      </c>
      <c r="C258" t="s">
        <v>16</v>
      </c>
      <c r="D258">
        <v>5</v>
      </c>
    </row>
    <row r="259" spans="1:4" x14ac:dyDescent="0.35">
      <c r="A259" t="s">
        <v>535</v>
      </c>
      <c r="B259" t="s">
        <v>536</v>
      </c>
      <c r="C259" t="s">
        <v>16</v>
      </c>
      <c r="D259">
        <v>5</v>
      </c>
    </row>
    <row r="260" spans="1:4" x14ac:dyDescent="0.35">
      <c r="A260" t="s">
        <v>537</v>
      </c>
      <c r="B260" t="s">
        <v>538</v>
      </c>
      <c r="C260" t="s">
        <v>16</v>
      </c>
      <c r="D260">
        <v>5</v>
      </c>
    </row>
    <row r="261" spans="1:4" x14ac:dyDescent="0.35">
      <c r="A261" t="s">
        <v>539</v>
      </c>
      <c r="B261" t="s">
        <v>540</v>
      </c>
      <c r="C261" t="s">
        <v>16</v>
      </c>
      <c r="D261">
        <v>5</v>
      </c>
    </row>
    <row r="262" spans="1:4" x14ac:dyDescent="0.35">
      <c r="A262" t="s">
        <v>541</v>
      </c>
      <c r="B262" t="s">
        <v>542</v>
      </c>
      <c r="C262" t="s">
        <v>16</v>
      </c>
      <c r="D262">
        <v>5</v>
      </c>
    </row>
    <row r="263" spans="1:4" x14ac:dyDescent="0.35">
      <c r="A263" t="s">
        <v>543</v>
      </c>
      <c r="B263" t="s">
        <v>544</v>
      </c>
      <c r="C263" t="s">
        <v>16</v>
      </c>
      <c r="D263">
        <v>5</v>
      </c>
    </row>
    <row r="264" spans="1:4" x14ac:dyDescent="0.35">
      <c r="A264" t="s">
        <v>545</v>
      </c>
      <c r="B264" t="s">
        <v>546</v>
      </c>
      <c r="C264" t="s">
        <v>16</v>
      </c>
      <c r="D264">
        <v>5</v>
      </c>
    </row>
    <row r="265" spans="1:4" x14ac:dyDescent="0.35">
      <c r="A265" t="s">
        <v>547</v>
      </c>
      <c r="B265" t="s">
        <v>548</v>
      </c>
      <c r="C265" t="s">
        <v>16</v>
      </c>
      <c r="D265">
        <v>5</v>
      </c>
    </row>
    <row r="266" spans="1:4" x14ac:dyDescent="0.35">
      <c r="A266" t="s">
        <v>562</v>
      </c>
      <c r="B266" t="s">
        <v>563</v>
      </c>
      <c r="C266" t="s">
        <v>12</v>
      </c>
      <c r="D266">
        <v>5</v>
      </c>
    </row>
    <row r="267" spans="1:4" x14ac:dyDescent="0.35">
      <c r="D267">
        <v>5</v>
      </c>
    </row>
    <row r="268" spans="1:4" x14ac:dyDescent="0.35">
      <c r="D268">
        <v>5</v>
      </c>
    </row>
    <row r="269" spans="1:4" x14ac:dyDescent="0.35">
      <c r="D269">
        <v>5</v>
      </c>
    </row>
    <row r="270" spans="1:4" x14ac:dyDescent="0.35">
      <c r="D270">
        <v>5</v>
      </c>
    </row>
    <row r="271" spans="1:4" x14ac:dyDescent="0.35">
      <c r="D271">
        <v>5</v>
      </c>
    </row>
    <row r="272" spans="1:4" x14ac:dyDescent="0.35">
      <c r="D272">
        <v>5</v>
      </c>
    </row>
    <row r="273" spans="4:4" x14ac:dyDescent="0.35">
      <c r="D273">
        <v>5</v>
      </c>
    </row>
    <row r="274" spans="4:4" x14ac:dyDescent="0.35">
      <c r="D274">
        <v>5</v>
      </c>
    </row>
    <row r="275" spans="4:4" x14ac:dyDescent="0.35">
      <c r="D275">
        <v>5</v>
      </c>
    </row>
    <row r="276" spans="4:4" x14ac:dyDescent="0.35">
      <c r="D276">
        <v>5</v>
      </c>
    </row>
    <row r="277" spans="4:4" x14ac:dyDescent="0.35">
      <c r="D277">
        <v>5</v>
      </c>
    </row>
    <row r="278" spans="4:4" x14ac:dyDescent="0.35">
      <c r="D278">
        <v>5</v>
      </c>
    </row>
    <row r="279" spans="4:4" x14ac:dyDescent="0.35">
      <c r="D279">
        <v>5</v>
      </c>
    </row>
    <row r="280" spans="4:4" x14ac:dyDescent="0.35">
      <c r="D280">
        <v>5</v>
      </c>
    </row>
    <row r="281" spans="4:4" x14ac:dyDescent="0.35">
      <c r="D281">
        <v>5</v>
      </c>
    </row>
    <row r="282" spans="4:4" x14ac:dyDescent="0.35">
      <c r="D282">
        <v>5</v>
      </c>
    </row>
    <row r="283" spans="4:4" x14ac:dyDescent="0.35">
      <c r="D283">
        <v>5</v>
      </c>
    </row>
    <row r="284" spans="4:4" x14ac:dyDescent="0.35">
      <c r="D284">
        <v>5</v>
      </c>
    </row>
    <row r="285" spans="4:4" x14ac:dyDescent="0.35">
      <c r="D285">
        <v>5</v>
      </c>
    </row>
    <row r="286" spans="4:4" x14ac:dyDescent="0.35">
      <c r="D286">
        <v>5</v>
      </c>
    </row>
    <row r="287" spans="4:4" x14ac:dyDescent="0.35">
      <c r="D287">
        <v>5</v>
      </c>
    </row>
    <row r="288" spans="4:4" x14ac:dyDescent="0.35">
      <c r="D288">
        <v>5</v>
      </c>
    </row>
    <row r="289" spans="4:4" x14ac:dyDescent="0.35">
      <c r="D289">
        <v>5</v>
      </c>
    </row>
    <row r="290" spans="4:4" x14ac:dyDescent="0.35">
      <c r="D290">
        <v>5</v>
      </c>
    </row>
    <row r="291" spans="4:4" x14ac:dyDescent="0.35">
      <c r="D291">
        <v>5</v>
      </c>
    </row>
    <row r="292" spans="4:4" x14ac:dyDescent="0.35">
      <c r="D292">
        <v>5</v>
      </c>
    </row>
    <row r="293" spans="4:4" x14ac:dyDescent="0.35">
      <c r="D293">
        <v>5</v>
      </c>
    </row>
    <row r="294" spans="4:4" x14ac:dyDescent="0.35">
      <c r="D294">
        <v>5</v>
      </c>
    </row>
    <row r="295" spans="4:4" x14ac:dyDescent="0.35">
      <c r="D295">
        <v>5</v>
      </c>
    </row>
    <row r="296" spans="4:4" x14ac:dyDescent="0.35">
      <c r="D296">
        <v>5</v>
      </c>
    </row>
    <row r="297" spans="4:4" x14ac:dyDescent="0.35">
      <c r="D297">
        <v>5</v>
      </c>
    </row>
    <row r="298" spans="4:4" x14ac:dyDescent="0.35">
      <c r="D298">
        <v>5</v>
      </c>
    </row>
    <row r="299" spans="4:4" x14ac:dyDescent="0.35">
      <c r="D299">
        <v>5</v>
      </c>
    </row>
    <row r="300" spans="4:4" x14ac:dyDescent="0.35">
      <c r="D300">
        <v>5</v>
      </c>
    </row>
    <row r="301" spans="4:4" x14ac:dyDescent="0.35">
      <c r="D301">
        <v>5</v>
      </c>
    </row>
    <row r="302" spans="4:4" x14ac:dyDescent="0.35">
      <c r="D302">
        <v>5</v>
      </c>
    </row>
    <row r="303" spans="4:4" x14ac:dyDescent="0.35">
      <c r="D303">
        <v>5</v>
      </c>
    </row>
    <row r="304" spans="4:4" x14ac:dyDescent="0.35">
      <c r="D304">
        <v>5</v>
      </c>
    </row>
    <row r="305" spans="4:4" x14ac:dyDescent="0.35">
      <c r="D305">
        <v>5</v>
      </c>
    </row>
    <row r="306" spans="4:4" x14ac:dyDescent="0.35">
      <c r="D306">
        <v>5</v>
      </c>
    </row>
    <row r="307" spans="4:4" x14ac:dyDescent="0.35">
      <c r="D307">
        <v>5</v>
      </c>
    </row>
    <row r="308" spans="4:4" x14ac:dyDescent="0.35">
      <c r="D308">
        <v>5</v>
      </c>
    </row>
    <row r="309" spans="4:4" x14ac:dyDescent="0.35">
      <c r="D309">
        <v>5</v>
      </c>
    </row>
    <row r="310" spans="4:4" x14ac:dyDescent="0.35">
      <c r="D310">
        <v>5</v>
      </c>
    </row>
    <row r="311" spans="4:4" x14ac:dyDescent="0.35">
      <c r="D311">
        <v>5</v>
      </c>
    </row>
    <row r="312" spans="4:4" x14ac:dyDescent="0.35">
      <c r="D312">
        <v>5</v>
      </c>
    </row>
    <row r="313" spans="4:4" x14ac:dyDescent="0.35">
      <c r="D313">
        <v>5</v>
      </c>
    </row>
    <row r="314" spans="4:4" x14ac:dyDescent="0.35">
      <c r="D314">
        <v>5</v>
      </c>
    </row>
    <row r="315" spans="4:4" x14ac:dyDescent="0.35">
      <c r="D315">
        <v>5</v>
      </c>
    </row>
    <row r="316" spans="4:4" x14ac:dyDescent="0.35">
      <c r="D316">
        <v>5</v>
      </c>
    </row>
    <row r="317" spans="4:4" x14ac:dyDescent="0.35">
      <c r="D317">
        <v>5</v>
      </c>
    </row>
    <row r="318" spans="4:4" x14ac:dyDescent="0.35">
      <c r="D318">
        <v>5</v>
      </c>
    </row>
    <row r="319" spans="4:4" x14ac:dyDescent="0.35">
      <c r="D319">
        <v>5</v>
      </c>
    </row>
    <row r="320" spans="4:4" x14ac:dyDescent="0.35">
      <c r="D320">
        <v>5</v>
      </c>
    </row>
    <row r="321" spans="4:4" x14ac:dyDescent="0.35">
      <c r="D321">
        <v>5</v>
      </c>
    </row>
    <row r="322" spans="4:4" x14ac:dyDescent="0.35">
      <c r="D322">
        <v>5</v>
      </c>
    </row>
    <row r="323" spans="4:4" x14ac:dyDescent="0.35">
      <c r="D323">
        <v>5</v>
      </c>
    </row>
    <row r="324" spans="4:4" x14ac:dyDescent="0.35">
      <c r="D324">
        <v>5</v>
      </c>
    </row>
    <row r="325" spans="4:4" x14ac:dyDescent="0.35">
      <c r="D325">
        <v>5</v>
      </c>
    </row>
    <row r="326" spans="4:4" x14ac:dyDescent="0.35">
      <c r="D326">
        <v>5</v>
      </c>
    </row>
    <row r="327" spans="4:4" x14ac:dyDescent="0.35">
      <c r="D327">
        <v>5</v>
      </c>
    </row>
    <row r="328" spans="4:4" x14ac:dyDescent="0.35">
      <c r="D328">
        <v>5</v>
      </c>
    </row>
    <row r="329" spans="4:4" x14ac:dyDescent="0.35">
      <c r="D329">
        <v>5</v>
      </c>
    </row>
    <row r="330" spans="4:4" x14ac:dyDescent="0.35">
      <c r="D330">
        <v>5</v>
      </c>
    </row>
    <row r="331" spans="4:4" x14ac:dyDescent="0.35">
      <c r="D331">
        <v>5</v>
      </c>
    </row>
    <row r="332" spans="4:4" x14ac:dyDescent="0.35">
      <c r="D332">
        <v>5</v>
      </c>
    </row>
    <row r="333" spans="4:4" x14ac:dyDescent="0.35">
      <c r="D333">
        <v>5</v>
      </c>
    </row>
    <row r="334" spans="4:4" x14ac:dyDescent="0.35">
      <c r="D334">
        <v>5</v>
      </c>
    </row>
    <row r="335" spans="4:4" x14ac:dyDescent="0.35">
      <c r="D335">
        <v>5</v>
      </c>
    </row>
    <row r="336" spans="4:4" x14ac:dyDescent="0.35">
      <c r="D336">
        <v>5</v>
      </c>
    </row>
    <row r="337" spans="4:4" x14ac:dyDescent="0.35">
      <c r="D337">
        <v>5</v>
      </c>
    </row>
    <row r="338" spans="4:4" x14ac:dyDescent="0.35">
      <c r="D338">
        <v>5</v>
      </c>
    </row>
    <row r="339" spans="4:4" x14ac:dyDescent="0.35">
      <c r="D339">
        <v>5</v>
      </c>
    </row>
    <row r="340" spans="4:4" x14ac:dyDescent="0.35">
      <c r="D340">
        <v>5</v>
      </c>
    </row>
    <row r="341" spans="4:4" x14ac:dyDescent="0.35">
      <c r="D341">
        <v>5</v>
      </c>
    </row>
    <row r="342" spans="4:4" x14ac:dyDescent="0.35">
      <c r="D342">
        <v>5</v>
      </c>
    </row>
    <row r="343" spans="4:4" x14ac:dyDescent="0.35">
      <c r="D343">
        <v>5</v>
      </c>
    </row>
    <row r="344" spans="4:4" x14ac:dyDescent="0.35">
      <c r="D344">
        <v>5</v>
      </c>
    </row>
    <row r="345" spans="4:4" x14ac:dyDescent="0.35">
      <c r="D345">
        <v>5</v>
      </c>
    </row>
    <row r="346" spans="4:4" x14ac:dyDescent="0.35">
      <c r="D346">
        <v>5</v>
      </c>
    </row>
    <row r="347" spans="4:4" x14ac:dyDescent="0.35">
      <c r="D347">
        <v>5</v>
      </c>
    </row>
    <row r="348" spans="4:4" x14ac:dyDescent="0.35">
      <c r="D348">
        <v>5</v>
      </c>
    </row>
    <row r="349" spans="4:4" x14ac:dyDescent="0.35">
      <c r="D349">
        <v>5</v>
      </c>
    </row>
    <row r="350" spans="4:4" x14ac:dyDescent="0.35">
      <c r="D350">
        <v>5</v>
      </c>
    </row>
    <row r="351" spans="4:4" x14ac:dyDescent="0.35">
      <c r="D351">
        <v>5</v>
      </c>
    </row>
    <row r="352" spans="4:4" x14ac:dyDescent="0.35">
      <c r="D352">
        <v>5</v>
      </c>
    </row>
    <row r="353" spans="4:4" x14ac:dyDescent="0.35">
      <c r="D353">
        <v>5</v>
      </c>
    </row>
    <row r="354" spans="4:4" x14ac:dyDescent="0.35">
      <c r="D354">
        <v>5</v>
      </c>
    </row>
    <row r="355" spans="4:4" x14ac:dyDescent="0.35">
      <c r="D355">
        <v>5</v>
      </c>
    </row>
    <row r="356" spans="4:4" x14ac:dyDescent="0.35">
      <c r="D356">
        <v>5</v>
      </c>
    </row>
    <row r="357" spans="4:4" x14ac:dyDescent="0.35">
      <c r="D357">
        <v>5</v>
      </c>
    </row>
    <row r="358" spans="4:4" x14ac:dyDescent="0.35">
      <c r="D358">
        <v>5</v>
      </c>
    </row>
    <row r="359" spans="4:4" x14ac:dyDescent="0.35">
      <c r="D359">
        <v>5</v>
      </c>
    </row>
    <row r="360" spans="4:4" x14ac:dyDescent="0.35">
      <c r="D360">
        <v>5</v>
      </c>
    </row>
    <row r="361" spans="4:4" x14ac:dyDescent="0.35">
      <c r="D361">
        <v>5</v>
      </c>
    </row>
    <row r="362" spans="4:4" x14ac:dyDescent="0.35">
      <c r="D362">
        <v>5</v>
      </c>
    </row>
    <row r="363" spans="4:4" x14ac:dyDescent="0.35">
      <c r="D363">
        <v>5</v>
      </c>
    </row>
    <row r="364" spans="4:4" x14ac:dyDescent="0.35">
      <c r="D364">
        <v>5</v>
      </c>
    </row>
    <row r="365" spans="4:4" x14ac:dyDescent="0.35">
      <c r="D365">
        <v>5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'1. DASHBOARD'!$B$10:$B$50</xm:f>
          </x14:formula1>
          <xm:sqref>C2:C365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0"/>
  <sheetViews>
    <sheetView topLeftCell="A10" zoomScale="101" workbookViewId="0">
      <selection activeCell="F142" sqref="F142"/>
    </sheetView>
  </sheetViews>
  <sheetFormatPr defaultRowHeight="14.5" x14ac:dyDescent="0.35"/>
  <cols>
    <col min="1" max="1" width="13.1796875" customWidth="1"/>
    <col min="2" max="2" width="12.08984375" customWidth="1"/>
    <col min="3" max="4" width="50" customWidth="1"/>
    <col min="5" max="5" width="17.54296875" customWidth="1"/>
    <col min="6" max="6" width="19.81640625" customWidth="1"/>
  </cols>
  <sheetData>
    <row r="1" spans="1:6" x14ac:dyDescent="0.35">
      <c r="A1" t="s">
        <v>549</v>
      </c>
      <c r="B1" t="s">
        <v>17</v>
      </c>
      <c r="C1" t="s">
        <v>550</v>
      </c>
      <c r="D1" t="s">
        <v>551</v>
      </c>
      <c r="E1" t="s">
        <v>552</v>
      </c>
      <c r="F1" t="s">
        <v>553</v>
      </c>
    </row>
    <row r="2" spans="1:6" x14ac:dyDescent="0.35">
      <c r="A2" t="s">
        <v>554</v>
      </c>
      <c r="B2" t="s">
        <v>21</v>
      </c>
      <c r="C2" t="str">
        <f>IFERROR(VLOOKUP($B2,'2. ITEM MASTER'!$A:$D,2,FALSE),"")</f>
        <v>CWX-VALVE- 1 inch</v>
      </c>
      <c r="D2" t="str">
        <f>IFERROR(VLOOKUP($B2,'2. ITEM MASTER'!$A:$D,3,FALSE),"")</f>
        <v>Electronics</v>
      </c>
      <c r="E2">
        <v>10</v>
      </c>
      <c r="F2" t="s">
        <v>555</v>
      </c>
    </row>
    <row r="3" spans="1:6" x14ac:dyDescent="0.35">
      <c r="A3" t="s">
        <v>554</v>
      </c>
      <c r="B3" t="s">
        <v>23</v>
      </c>
      <c r="C3" t="str">
        <f>IFERROR(VLOOKUP($B3,'2. ITEM MASTER'!$A:$D,2,FALSE),"")</f>
        <v>CWX -VALVE-0.5inch</v>
      </c>
      <c r="D3" t="str">
        <f>IFERROR(VLOOKUP($B3,'2. ITEM MASTER'!$A:$D,3,FALSE),"")</f>
        <v>Electronics</v>
      </c>
      <c r="E3">
        <v>46</v>
      </c>
      <c r="F3" t="s">
        <v>555</v>
      </c>
    </row>
    <row r="4" spans="1:6" x14ac:dyDescent="0.35">
      <c r="A4" t="s">
        <v>554</v>
      </c>
      <c r="B4" t="s">
        <v>25</v>
      </c>
      <c r="C4" t="str">
        <f>IFERROR(VLOOKUP($B4,'2. ITEM MASTER'!$A:$D,2,FALSE),"")</f>
        <v>STRIKE LOCK</v>
      </c>
      <c r="D4" t="str">
        <f>IFERROR(VLOOKUP($B4,'2. ITEM MASTER'!$A:$D,3,FALSE),"")</f>
        <v>Electronics</v>
      </c>
      <c r="E4">
        <v>182</v>
      </c>
      <c r="F4" t="s">
        <v>555</v>
      </c>
    </row>
    <row r="5" spans="1:6" x14ac:dyDescent="0.35">
      <c r="A5" t="s">
        <v>554</v>
      </c>
      <c r="B5" t="s">
        <v>27</v>
      </c>
      <c r="C5" t="str">
        <f>IFERROR(VLOOKUP($B5,'2. ITEM MASTER'!$A:$D,2,FALSE),"")</f>
        <v>COIN ACCEPTER</v>
      </c>
      <c r="D5" t="str">
        <f>IFERROR(VLOOKUP($B5,'2. ITEM MASTER'!$A:$D,3,FALSE),"")</f>
        <v>Electronics</v>
      </c>
      <c r="E5">
        <v>13</v>
      </c>
      <c r="F5" t="s">
        <v>555</v>
      </c>
    </row>
    <row r="6" spans="1:6" x14ac:dyDescent="0.35">
      <c r="A6" t="s">
        <v>554</v>
      </c>
      <c r="B6" t="s">
        <v>29</v>
      </c>
      <c r="C6" t="str">
        <f>IFERROR(VLOOKUP($B6,'2. ITEM MASTER'!$A:$D,2,FALSE),"")</f>
        <v>PIR SENSOR</v>
      </c>
      <c r="D6" t="str">
        <f>IFERROR(VLOOKUP($B6,'2. ITEM MASTER'!$A:$D,3,FALSE),"")</f>
        <v>Electronics</v>
      </c>
      <c r="E6">
        <v>71</v>
      </c>
      <c r="F6" t="s">
        <v>555</v>
      </c>
    </row>
    <row r="7" spans="1:6" x14ac:dyDescent="0.35">
      <c r="A7" t="s">
        <v>554</v>
      </c>
      <c r="B7" t="s">
        <v>31</v>
      </c>
      <c r="C7" t="str">
        <f>IFERROR(VLOOKUP($B7,'2. ITEM MASTER'!$A:$D,2,FALSE),"")</f>
        <v>LDR SENSOR</v>
      </c>
      <c r="D7" t="str">
        <f>IFERROR(VLOOKUP($B7,'2. ITEM MASTER'!$A:$D,3,FALSE),"")</f>
        <v>Electronics</v>
      </c>
      <c r="E7">
        <v>74</v>
      </c>
      <c r="F7" t="s">
        <v>555</v>
      </c>
    </row>
    <row r="8" spans="1:6" x14ac:dyDescent="0.35">
      <c r="A8" t="s">
        <v>554</v>
      </c>
      <c r="B8" t="s">
        <v>33</v>
      </c>
      <c r="C8" t="str">
        <f>IFERROR(VLOOKUP($B8,'2. ITEM MASTER'!$A:$D,2,FALSE),"")</f>
        <v>PUSH BOTTON</v>
      </c>
      <c r="D8" t="str">
        <f>IFERROR(VLOOKUP($B8,'2. ITEM MASTER'!$A:$D,3,FALSE),"")</f>
        <v>Electronics</v>
      </c>
      <c r="E8">
        <v>86</v>
      </c>
      <c r="F8" t="s">
        <v>555</v>
      </c>
    </row>
    <row r="9" spans="1:6" x14ac:dyDescent="0.35">
      <c r="A9" t="s">
        <v>554</v>
      </c>
      <c r="B9" t="s">
        <v>35</v>
      </c>
      <c r="C9" t="str">
        <f>IFERROR(VLOOKUP($B9,'2. ITEM MASTER'!$A:$D,2,FALSE),"")</f>
        <v>LIMIT SWITCH</v>
      </c>
      <c r="D9" t="str">
        <f>IFERROR(VLOOKUP($B9,'2. ITEM MASTER'!$A:$D,3,FALSE),"")</f>
        <v>Electronics</v>
      </c>
      <c r="E9">
        <v>10</v>
      </c>
      <c r="F9" t="s">
        <v>555</v>
      </c>
    </row>
    <row r="10" spans="1:6" x14ac:dyDescent="0.35">
      <c r="A10" t="s">
        <v>554</v>
      </c>
      <c r="B10" t="s">
        <v>37</v>
      </c>
      <c r="C10" t="str">
        <f>IFERROR(VLOOKUP($B10,'2. ITEM MASTER'!$A:$D,2,FALSE),"")</f>
        <v>FAN ORPAT</v>
      </c>
      <c r="D10" t="str">
        <f>IFERROR(VLOOKUP($B10,'2. ITEM MASTER'!$A:$D,3,FALSE),"")</f>
        <v>Electronics</v>
      </c>
      <c r="E10">
        <v>10</v>
      </c>
      <c r="F10" t="s">
        <v>555</v>
      </c>
    </row>
    <row r="11" spans="1:6" x14ac:dyDescent="0.35">
      <c r="A11" t="s">
        <v>554</v>
      </c>
      <c r="B11" t="s">
        <v>39</v>
      </c>
      <c r="C11" t="str">
        <f>IFERROR(VLOOKUP($B11,'2. ITEM MASTER'!$A:$D,2,FALSE),"")</f>
        <v>ELCB+MCB+32AMP</v>
      </c>
      <c r="D11" t="str">
        <f>IFERROR(VLOOKUP($B11,'2. ITEM MASTER'!$A:$D,3,FALSE),"")</f>
        <v>Electronics</v>
      </c>
      <c r="E11">
        <v>32</v>
      </c>
      <c r="F11" t="s">
        <v>555</v>
      </c>
    </row>
    <row r="12" spans="1:6" x14ac:dyDescent="0.35">
      <c r="A12" t="s">
        <v>554</v>
      </c>
      <c r="B12" t="s">
        <v>41</v>
      </c>
      <c r="C12" t="str">
        <f>IFERROR(VLOOKUP($B12,'2. ITEM MASTER'!$A:$D,2,FALSE),"")</f>
        <v>SMPS 12V</v>
      </c>
      <c r="D12" t="str">
        <f>IFERROR(VLOOKUP($B12,'2. ITEM MASTER'!$A:$D,3,FALSE),"")</f>
        <v>Electronics</v>
      </c>
      <c r="E12">
        <v>121</v>
      </c>
      <c r="F12" t="s">
        <v>555</v>
      </c>
    </row>
    <row r="13" spans="1:6" x14ac:dyDescent="0.35">
      <c r="A13" t="s">
        <v>554</v>
      </c>
      <c r="B13" t="s">
        <v>43</v>
      </c>
      <c r="C13" t="str">
        <f>IFERROR(VLOOKUP($B13,'2. ITEM MASTER'!$A:$D,2,FALSE),"")</f>
        <v>BATTERY 12V 26A</v>
      </c>
      <c r="D13" t="str">
        <f>IFERROR(VLOOKUP($B13,'2. ITEM MASTER'!$A:$D,3,FALSE),"")</f>
        <v>Electronics</v>
      </c>
      <c r="E13">
        <v>9</v>
      </c>
      <c r="F13" t="s">
        <v>555</v>
      </c>
    </row>
    <row r="14" spans="1:6" x14ac:dyDescent="0.35">
      <c r="A14" t="s">
        <v>554</v>
      </c>
      <c r="B14" t="s">
        <v>45</v>
      </c>
      <c r="C14" t="str">
        <f>IFERROR(VLOOKUP($B14,'2. ITEM MASTER'!$A:$D,2,FALSE),"")</f>
        <v>UPS V GUARD</v>
      </c>
      <c r="D14" t="str">
        <f>IFERROR(VLOOKUP($B14,'2. ITEM MASTER'!$A:$D,3,FALSE),"")</f>
        <v>Electronics</v>
      </c>
      <c r="E14">
        <v>8</v>
      </c>
      <c r="F14" t="s">
        <v>555</v>
      </c>
    </row>
    <row r="15" spans="1:6" x14ac:dyDescent="0.35">
      <c r="A15" t="s">
        <v>554</v>
      </c>
      <c r="B15" t="s">
        <v>47</v>
      </c>
      <c r="C15" t="str">
        <f>IFERROR(VLOOKUP($B15,'2. ITEM MASTER'!$A:$D,2,FALSE),"")</f>
        <v>BAZZER</v>
      </c>
      <c r="D15" t="str">
        <f>IFERROR(VLOOKUP($B15,'2. ITEM MASTER'!$A:$D,3,FALSE),"")</f>
        <v>Electronics</v>
      </c>
      <c r="E15">
        <v>19</v>
      </c>
      <c r="F15" t="s">
        <v>555</v>
      </c>
    </row>
    <row r="16" spans="1:6" x14ac:dyDescent="0.35">
      <c r="A16" t="s">
        <v>554</v>
      </c>
      <c r="B16" t="s">
        <v>49</v>
      </c>
      <c r="C16" t="str">
        <f>IFERROR(VLOOKUP($B16,'2. ITEM MASTER'!$A:$D,2,FALSE),"")</f>
        <v>LIMIT SWITCH SMALL</v>
      </c>
      <c r="D16" t="str">
        <f>IFERROR(VLOOKUP($B16,'2. ITEM MASTER'!$A:$D,3,FALSE),"")</f>
        <v>Electronics</v>
      </c>
      <c r="E16">
        <v>17</v>
      </c>
      <c r="F16" t="s">
        <v>555</v>
      </c>
    </row>
    <row r="17" spans="1:6" x14ac:dyDescent="0.35">
      <c r="A17" t="s">
        <v>554</v>
      </c>
      <c r="B17" t="s">
        <v>51</v>
      </c>
      <c r="C17" t="str">
        <f>IFERROR(VLOOKUP($B17,'2. ITEM MASTER'!$A:$D,2,FALSE),"")</f>
        <v>PRESSURE PUMP</v>
      </c>
      <c r="D17" t="str">
        <f>IFERROR(VLOOKUP($B17,'2. ITEM MASTER'!$A:$D,3,FALSE),"")</f>
        <v>Electronics</v>
      </c>
      <c r="E17">
        <v>1</v>
      </c>
      <c r="F17" t="s">
        <v>555</v>
      </c>
    </row>
    <row r="18" spans="1:6" x14ac:dyDescent="0.35">
      <c r="A18" t="s">
        <v>554</v>
      </c>
      <c r="B18" t="s">
        <v>53</v>
      </c>
      <c r="C18" t="str">
        <f>IFERROR(VLOOKUP($B18,'2. ITEM MASTER'!$A:$D,2,FALSE),"")</f>
        <v>LIGHT 3W (ROUND)</v>
      </c>
      <c r="D18" t="str">
        <f>IFERROR(VLOOKUP($B18,'2. ITEM MASTER'!$A:$D,3,FALSE),"")</f>
        <v>Electronics</v>
      </c>
      <c r="E18">
        <v>32</v>
      </c>
      <c r="F18" t="s">
        <v>555</v>
      </c>
    </row>
    <row r="19" spans="1:6" x14ac:dyDescent="0.35">
      <c r="A19" t="s">
        <v>554</v>
      </c>
      <c r="B19" t="s">
        <v>55</v>
      </c>
      <c r="C19" t="str">
        <f>IFERROR(VLOOKUP($B19,'2. ITEM MASTER'!$A:$D,2,FALSE),"")</f>
        <v>LIGHT 2W GREEN</v>
      </c>
      <c r="D19" t="str">
        <f>IFERROR(VLOOKUP($B19,'2. ITEM MASTER'!$A:$D,3,FALSE),"")</f>
        <v>Electronics</v>
      </c>
      <c r="E19">
        <v>38</v>
      </c>
      <c r="F19" t="s">
        <v>555</v>
      </c>
    </row>
    <row r="20" spans="1:6" x14ac:dyDescent="0.35">
      <c r="A20" t="s">
        <v>554</v>
      </c>
      <c r="B20" t="s">
        <v>57</v>
      </c>
      <c r="C20" t="str">
        <f>IFERROR(VLOOKUP($B20,'2. ITEM MASTER'!$A:$D,2,FALSE),"")</f>
        <v>LIGHT 2W RED</v>
      </c>
      <c r="D20" t="str">
        <f>IFERROR(VLOOKUP($B20,'2. ITEM MASTER'!$A:$D,3,FALSE),"")</f>
        <v>Electronics</v>
      </c>
      <c r="E20">
        <v>46</v>
      </c>
      <c r="F20" t="s">
        <v>555</v>
      </c>
    </row>
    <row r="21" spans="1:6" x14ac:dyDescent="0.35">
      <c r="A21" t="s">
        <v>554</v>
      </c>
      <c r="B21" t="s">
        <v>59</v>
      </c>
      <c r="C21" t="str">
        <f>IFERROR(VLOOKUP($B21,'2. ITEM MASTER'!$A:$D,2,FALSE),"")</f>
        <v>TOP PLUG 6 A</v>
      </c>
      <c r="D21" t="str">
        <f>IFERROR(VLOOKUP($B21,'2. ITEM MASTER'!$A:$D,3,FALSE),"")</f>
        <v>Electronics</v>
      </c>
      <c r="E21">
        <v>38</v>
      </c>
      <c r="F21" t="s">
        <v>555</v>
      </c>
    </row>
    <row r="22" spans="1:6" x14ac:dyDescent="0.35">
      <c r="A22" t="s">
        <v>554</v>
      </c>
      <c r="B22" t="s">
        <v>61</v>
      </c>
      <c r="C22" t="str">
        <f>IFERROR(VLOOKUP($B22,'2. ITEM MASTER'!$A:$D,2,FALSE),"")</f>
        <v>TOP PLUG 16A</v>
      </c>
      <c r="D22" t="str">
        <f>IFERROR(VLOOKUP($B22,'2. ITEM MASTER'!$A:$D,3,FALSE),"")</f>
        <v>Electronics</v>
      </c>
      <c r="E22">
        <v>60</v>
      </c>
      <c r="F22" t="s">
        <v>555</v>
      </c>
    </row>
    <row r="23" spans="1:6" x14ac:dyDescent="0.35">
      <c r="A23" t="s">
        <v>554</v>
      </c>
      <c r="B23" t="s">
        <v>63</v>
      </c>
      <c r="C23" t="str">
        <f>IFERROR(VLOOKUP($B23,'2. ITEM MASTER'!$A:$D,2,FALSE),"")</f>
        <v>SWITCH 6A</v>
      </c>
      <c r="D23" t="str">
        <f>IFERROR(VLOOKUP($B23,'2. ITEM MASTER'!$A:$D,3,FALSE),"")</f>
        <v>Electronics</v>
      </c>
      <c r="E23">
        <v>31</v>
      </c>
      <c r="F23" t="s">
        <v>555</v>
      </c>
    </row>
    <row r="24" spans="1:6" x14ac:dyDescent="0.35">
      <c r="A24" t="s">
        <v>554</v>
      </c>
      <c r="B24" t="s">
        <v>65</v>
      </c>
      <c r="C24" t="str">
        <f>IFERROR(VLOOKUP($B24,'2. ITEM MASTER'!$A:$D,2,FALSE),"")</f>
        <v>SOCKET 6A 3PIN</v>
      </c>
      <c r="D24" t="str">
        <f>IFERROR(VLOOKUP($B24,'2. ITEM MASTER'!$A:$D,3,FALSE),"")</f>
        <v>Electronics</v>
      </c>
      <c r="E24">
        <v>28</v>
      </c>
      <c r="F24" t="s">
        <v>555</v>
      </c>
    </row>
    <row r="25" spans="1:6" x14ac:dyDescent="0.35">
      <c r="A25" t="s">
        <v>554</v>
      </c>
      <c r="B25" t="s">
        <v>67</v>
      </c>
      <c r="C25" t="str">
        <f>IFERROR(VLOOKUP($B25,'2. ITEM MASTER'!$A:$D,2,FALSE),"")</f>
        <v>BOX 3M WITH PLATE</v>
      </c>
      <c r="D25" t="str">
        <f>IFERROR(VLOOKUP($B25,'2. ITEM MASTER'!$A:$D,3,FALSE),"")</f>
        <v>Electronics</v>
      </c>
      <c r="E25">
        <v>31</v>
      </c>
      <c r="F25" t="s">
        <v>555</v>
      </c>
    </row>
    <row r="26" spans="1:6" x14ac:dyDescent="0.35">
      <c r="A26" t="s">
        <v>554</v>
      </c>
      <c r="B26" t="s">
        <v>75</v>
      </c>
      <c r="C26" t="str">
        <f>IFERROR(VLOOKUP($B26,'2. ITEM MASTER'!$A:$D,2,FALSE),"")</f>
        <v>EARTHING PATE</v>
      </c>
      <c r="D26" t="str">
        <f>IFERROR(VLOOKUP($B26,'2. ITEM MASTER'!$A:$D,3,FALSE),"")</f>
        <v>Electronics</v>
      </c>
      <c r="E26">
        <v>19</v>
      </c>
      <c r="F26" t="s">
        <v>555</v>
      </c>
    </row>
    <row r="27" spans="1:6" x14ac:dyDescent="0.35">
      <c r="A27" t="s">
        <v>554</v>
      </c>
      <c r="B27" t="s">
        <v>77</v>
      </c>
      <c r="C27" t="str">
        <f>IFERROR(VLOOKUP($B27,'2. ITEM MASTER'!$A:$D,2,FALSE),"")</f>
        <v>EARTING WIRE</v>
      </c>
      <c r="D27" t="str">
        <f>IFERROR(VLOOKUP($B27,'2. ITEM MASTER'!$A:$D,3,FALSE),"")</f>
        <v>Electronics</v>
      </c>
      <c r="E27">
        <v>2</v>
      </c>
      <c r="F27" t="s">
        <v>555</v>
      </c>
    </row>
    <row r="28" spans="1:6" x14ac:dyDescent="0.35">
      <c r="A28" t="s">
        <v>554</v>
      </c>
      <c r="B28" t="s">
        <v>81</v>
      </c>
      <c r="C28" t="str">
        <f>IFERROR(VLOOKUP($B28,'2. ITEM MASTER'!$A:$D,2,FALSE),"")</f>
        <v>MCB 4POLE 20A</v>
      </c>
      <c r="D28" t="str">
        <f>IFERROR(VLOOKUP($B28,'2. ITEM MASTER'!$A:$D,3,FALSE),"")</f>
        <v>Electronics</v>
      </c>
      <c r="E28">
        <v>20</v>
      </c>
      <c r="F28" t="s">
        <v>555</v>
      </c>
    </row>
    <row r="29" spans="1:6" x14ac:dyDescent="0.35">
      <c r="A29" t="s">
        <v>554</v>
      </c>
      <c r="B29" t="s">
        <v>83</v>
      </c>
      <c r="C29" t="str">
        <f>IFERROR(VLOOKUP($B29,'2. ITEM MASTER'!$A:$D,2,FALSE),"")</f>
        <v>MCB 4 POLE 32A</v>
      </c>
      <c r="D29" t="str">
        <f>IFERROR(VLOOKUP($B29,'2. ITEM MASTER'!$A:$D,3,FALSE),"")</f>
        <v>Electronics</v>
      </c>
      <c r="E29">
        <v>4</v>
      </c>
      <c r="F29" t="s">
        <v>555</v>
      </c>
    </row>
    <row r="30" spans="1:6" x14ac:dyDescent="0.35">
      <c r="A30" t="s">
        <v>554</v>
      </c>
      <c r="B30" t="s">
        <v>85</v>
      </c>
      <c r="C30" t="str">
        <f>IFERROR(VLOOKUP($B30,'2. ITEM MASTER'!$A:$D,2,FALSE),"")</f>
        <v>MCB 3POLE 20A</v>
      </c>
      <c r="D30" t="str">
        <f>IFERROR(VLOOKUP($B30,'2. ITEM MASTER'!$A:$D,3,FALSE),"")</f>
        <v>Electronics</v>
      </c>
      <c r="E30">
        <v>23</v>
      </c>
      <c r="F30" t="s">
        <v>555</v>
      </c>
    </row>
    <row r="31" spans="1:6" x14ac:dyDescent="0.35">
      <c r="A31" t="s">
        <v>554</v>
      </c>
      <c r="B31" t="s">
        <v>87</v>
      </c>
      <c r="C31" t="str">
        <f>IFERROR(VLOOKUP($B31,'2. ITEM MASTER'!$A:$D,2,FALSE),"")</f>
        <v>MCB 1 POLE 16A</v>
      </c>
      <c r="D31" t="str">
        <f>IFERROR(VLOOKUP($B31,'2. ITEM MASTER'!$A:$D,3,FALSE),"")</f>
        <v>Electronics</v>
      </c>
      <c r="E31">
        <v>2</v>
      </c>
      <c r="F31" t="s">
        <v>555</v>
      </c>
    </row>
    <row r="32" spans="1:6" x14ac:dyDescent="0.35">
      <c r="A32" t="s">
        <v>554</v>
      </c>
      <c r="B32" t="s">
        <v>89</v>
      </c>
      <c r="C32" t="str">
        <f>IFERROR(VLOOKUP($B32,'2. ITEM MASTER'!$A:$D,2,FALSE),"")</f>
        <v>MCB 1 POLE 10A</v>
      </c>
      <c r="D32" t="str">
        <f>IFERROR(VLOOKUP($B32,'2. ITEM MASTER'!$A:$D,3,FALSE),"")</f>
        <v>Electronics</v>
      </c>
      <c r="E32">
        <v>25</v>
      </c>
      <c r="F32" t="s">
        <v>555</v>
      </c>
    </row>
    <row r="33" spans="1:6" x14ac:dyDescent="0.35">
      <c r="A33" t="s">
        <v>554</v>
      </c>
      <c r="B33" t="s">
        <v>91</v>
      </c>
      <c r="C33" t="str">
        <f>IFERROR(VLOOKUP($B33,'2. ITEM MASTER'!$A:$D,2,FALSE),"")</f>
        <v>MCB 3POLE 16A</v>
      </c>
      <c r="D33" t="str">
        <f>IFERROR(VLOOKUP($B33,'2. ITEM MASTER'!$A:$D,3,FALSE),"")</f>
        <v>Electronics</v>
      </c>
      <c r="E33">
        <v>1</v>
      </c>
      <c r="F33" t="s">
        <v>555</v>
      </c>
    </row>
    <row r="34" spans="1:6" x14ac:dyDescent="0.35">
      <c r="A34" t="s">
        <v>554</v>
      </c>
      <c r="B34" t="s">
        <v>93</v>
      </c>
      <c r="C34" t="str">
        <f>IFERROR(VLOOKUP($B34,'2. ITEM MASTER'!$A:$D,2,FALSE),"")</f>
        <v>MCB 1 POLE 32A</v>
      </c>
      <c r="D34" t="str">
        <f>IFERROR(VLOOKUP($B34,'2. ITEM MASTER'!$A:$D,3,FALSE),"")</f>
        <v>Electronics</v>
      </c>
      <c r="E34">
        <v>8</v>
      </c>
      <c r="F34" t="s">
        <v>555</v>
      </c>
    </row>
    <row r="35" spans="1:6" x14ac:dyDescent="0.35">
      <c r="A35" t="s">
        <v>554</v>
      </c>
      <c r="B35" t="s">
        <v>95</v>
      </c>
      <c r="C35" t="str">
        <f>IFERROR(VLOOKUP($B35,'2. ITEM MASTER'!$A:$D,2,FALSE),"")</f>
        <v>WATER LEVEL SENSOR</v>
      </c>
      <c r="D35" t="str">
        <f>IFERROR(VLOOKUP($B35,'2. ITEM MASTER'!$A:$D,3,FALSE),"")</f>
        <v>Electronics</v>
      </c>
      <c r="E35">
        <v>66</v>
      </c>
      <c r="F35" t="s">
        <v>555</v>
      </c>
    </row>
    <row r="36" spans="1:6" x14ac:dyDescent="0.35">
      <c r="A36" t="s">
        <v>554</v>
      </c>
      <c r="B36" t="s">
        <v>127</v>
      </c>
      <c r="C36" t="str">
        <f>IFERROR(VLOOKUP($B36,'2. ITEM MASTER'!$A:$D,2,FALSE),"")</f>
        <v>CHANEEL PATTI</v>
      </c>
      <c r="D36" t="str">
        <f>IFERROR(VLOOKUP($B36,'2. ITEM MASTER'!$A:$D,3,FALSE),"")</f>
        <v>Electronics</v>
      </c>
      <c r="E36">
        <v>5</v>
      </c>
      <c r="F36" t="s">
        <v>555</v>
      </c>
    </row>
    <row r="37" spans="1:6" x14ac:dyDescent="0.35">
      <c r="A37" t="s">
        <v>554</v>
      </c>
      <c r="B37" t="s">
        <v>129</v>
      </c>
      <c r="C37" t="str">
        <f>IFERROR(VLOOKUP($B37,'2. ITEM MASTER'!$A:$D,2,FALSE),"")</f>
        <v>BAZZER LAMP</v>
      </c>
      <c r="D37" t="str">
        <f>IFERROR(VLOOKUP($B37,'2. ITEM MASTER'!$A:$D,3,FALSE),"")</f>
        <v>Electronics</v>
      </c>
      <c r="E37">
        <v>4</v>
      </c>
      <c r="F37" t="s">
        <v>555</v>
      </c>
    </row>
    <row r="38" spans="1:6" x14ac:dyDescent="0.35">
      <c r="A38" t="s">
        <v>554</v>
      </c>
      <c r="B38" t="s">
        <v>131</v>
      </c>
      <c r="C38" t="str">
        <f>IFERROR(VLOOKUP($B38,'2. ITEM MASTER'!$A:$D,2,FALSE),"")</f>
        <v>CABLE GALAN</v>
      </c>
      <c r="D38" t="str">
        <f>IFERROR(VLOOKUP($B38,'2. ITEM MASTER'!$A:$D,3,FALSE),"")</f>
        <v>Electronics</v>
      </c>
      <c r="E38">
        <v>10</v>
      </c>
      <c r="F38" t="s">
        <v>555</v>
      </c>
    </row>
    <row r="39" spans="1:6" x14ac:dyDescent="0.35">
      <c r="A39" t="s">
        <v>554</v>
      </c>
      <c r="B39" t="s">
        <v>133</v>
      </c>
      <c r="C39" t="str">
        <f>IFERROR(VLOOKUP($B39,'2. ITEM MASTER'!$A:$D,2,FALSE),"")</f>
        <v>CAMERA 4G</v>
      </c>
      <c r="D39" t="str">
        <f>IFERROR(VLOOKUP($B39,'2. ITEM MASTER'!$A:$D,3,FALSE),"")</f>
        <v>Electronics</v>
      </c>
      <c r="E39">
        <v>3</v>
      </c>
      <c r="F39" t="s">
        <v>555</v>
      </c>
    </row>
    <row r="40" spans="1:6" x14ac:dyDescent="0.35">
      <c r="A40" t="s">
        <v>554</v>
      </c>
      <c r="B40" t="s">
        <v>135</v>
      </c>
      <c r="C40" t="str">
        <f>IFERROR(VLOOKUP($B40,'2. ITEM MASTER'!$A:$D,2,FALSE),"")</f>
        <v>CAMERA HOME</v>
      </c>
      <c r="D40" t="str">
        <f>IFERROR(VLOOKUP($B40,'2. ITEM MASTER'!$A:$D,3,FALSE),"")</f>
        <v>Electronics</v>
      </c>
      <c r="E40">
        <v>2</v>
      </c>
      <c r="F40" t="s">
        <v>555</v>
      </c>
    </row>
    <row r="41" spans="1:6" x14ac:dyDescent="0.35">
      <c r="A41" t="s">
        <v>554</v>
      </c>
      <c r="B41" t="s">
        <v>137</v>
      </c>
      <c r="C41" t="str">
        <f>IFERROR(VLOOKUP($B41,'2. ITEM MASTER'!$A:$D,2,FALSE),"")</f>
        <v>HMI</v>
      </c>
      <c r="D41" t="str">
        <f>IFERROR(VLOOKUP($B41,'2. ITEM MASTER'!$A:$D,3,FALSE),"")</f>
        <v>Electronics</v>
      </c>
      <c r="E41">
        <v>1</v>
      </c>
      <c r="F41" t="s">
        <v>555</v>
      </c>
    </row>
    <row r="42" spans="1:6" x14ac:dyDescent="0.35">
      <c r="A42" t="s">
        <v>554</v>
      </c>
      <c r="B42" t="s">
        <v>139</v>
      </c>
      <c r="C42" t="str">
        <f>IFERROR(VLOOKUP($B42,'2. ITEM MASTER'!$A:$D,2,FALSE),"")</f>
        <v>HARNESS PUSH BOTTON</v>
      </c>
      <c r="D42" t="str">
        <f>IFERROR(VLOOKUP($B42,'2. ITEM MASTER'!$A:$D,3,FALSE),"")</f>
        <v>Electronics</v>
      </c>
      <c r="E42">
        <v>50</v>
      </c>
      <c r="F42" t="s">
        <v>555</v>
      </c>
    </row>
    <row r="43" spans="1:6" x14ac:dyDescent="0.35">
      <c r="A43" t="s">
        <v>554</v>
      </c>
      <c r="B43" t="s">
        <v>141</v>
      </c>
      <c r="C43" t="str">
        <f>IFERROR(VLOOKUP($B43,'2. ITEM MASTER'!$A:$D,2,FALSE),"")</f>
        <v>LUG</v>
      </c>
      <c r="D43" t="str">
        <f>IFERROR(VLOOKUP($B43,'2. ITEM MASTER'!$A:$D,3,FALSE),"")</f>
        <v>Electronics</v>
      </c>
      <c r="E43">
        <v>1000</v>
      </c>
      <c r="F43" t="s">
        <v>555</v>
      </c>
    </row>
    <row r="44" spans="1:6" x14ac:dyDescent="0.35">
      <c r="A44" t="s">
        <v>554</v>
      </c>
      <c r="B44" t="s">
        <v>145</v>
      </c>
      <c r="C44" t="str">
        <f>IFERROR(VLOOKUP($B44,'2. ITEM MASTER'!$A:$D,2,FALSE),"")</f>
        <v>MCB 16A DP</v>
      </c>
      <c r="D44" t="str">
        <f>IFERROR(VLOOKUP($B44,'2. ITEM MASTER'!$A:$D,3,FALSE),"")</f>
        <v>Electronics</v>
      </c>
      <c r="E44">
        <v>11</v>
      </c>
      <c r="F44" t="s">
        <v>555</v>
      </c>
    </row>
    <row r="45" spans="1:6" x14ac:dyDescent="0.35">
      <c r="A45" t="s">
        <v>554</v>
      </c>
      <c r="B45" t="s">
        <v>147</v>
      </c>
      <c r="C45" t="str">
        <f>IFERROR(VLOOKUP($B45,'2. ITEM MASTER'!$A:$D,2,FALSE),"")</f>
        <v>MCB BOX PVC 4P</v>
      </c>
      <c r="D45" t="str">
        <f>IFERROR(VLOOKUP($B45,'2. ITEM MASTER'!$A:$D,3,FALSE),"")</f>
        <v>Electronics</v>
      </c>
      <c r="E45">
        <v>11</v>
      </c>
      <c r="F45" t="s">
        <v>555</v>
      </c>
    </row>
    <row r="46" spans="1:6" x14ac:dyDescent="0.35">
      <c r="A46" t="s">
        <v>554</v>
      </c>
      <c r="B46" t="s">
        <v>153</v>
      </c>
      <c r="C46" t="str">
        <f>IFERROR(VLOOKUP($B46,'2. ITEM MASTER'!$A:$D,2,FALSE),"")</f>
        <v>PVC PIPE 20MM BALCK</v>
      </c>
      <c r="D46" t="str">
        <f>IFERROR(VLOOKUP($B46,'2. ITEM MASTER'!$A:$D,3,FALSE),"")</f>
        <v>Electronics</v>
      </c>
      <c r="E46">
        <v>85</v>
      </c>
      <c r="F46" t="s">
        <v>555</v>
      </c>
    </row>
    <row r="47" spans="1:6" x14ac:dyDescent="0.35">
      <c r="A47" t="s">
        <v>554</v>
      </c>
      <c r="B47" t="s">
        <v>155</v>
      </c>
      <c r="C47" t="str">
        <f>IFERROR(VLOOKUP($B47,'2. ITEM MASTER'!$A:$D,2,FALSE),"")</f>
        <v>RELAY 12V DC</v>
      </c>
      <c r="D47" t="str">
        <f>IFERROR(VLOOKUP($B47,'2. ITEM MASTER'!$A:$D,3,FALSE),"")</f>
        <v>Electronics</v>
      </c>
      <c r="E47">
        <v>3</v>
      </c>
      <c r="F47" t="s">
        <v>555</v>
      </c>
    </row>
    <row r="48" spans="1:6" x14ac:dyDescent="0.35">
      <c r="A48" t="s">
        <v>554</v>
      </c>
      <c r="B48" t="s">
        <v>163</v>
      </c>
      <c r="C48" t="str">
        <f>IFERROR(VLOOKUP($B48,'2. ITEM MASTER'!$A:$D,2,FALSE),"")</f>
        <v>EMERGENCY PUSH BOTTON</v>
      </c>
      <c r="D48" t="str">
        <f>IFERROR(VLOOKUP($B48,'2. ITEM MASTER'!$A:$D,3,FALSE),"")</f>
        <v>Electronics</v>
      </c>
      <c r="E48">
        <v>29</v>
      </c>
      <c r="F48" t="s">
        <v>555</v>
      </c>
    </row>
    <row r="49" spans="1:6" x14ac:dyDescent="0.35">
      <c r="A49" t="s">
        <v>554</v>
      </c>
      <c r="B49" t="s">
        <v>165</v>
      </c>
      <c r="C49" t="str">
        <f>IFERROR(VLOOKUP($B49,'2. ITEM MASTER'!$A:$D,2,FALSE),"")</f>
        <v>EMERGNCY PUSH BOTTON COVER</v>
      </c>
      <c r="D49" t="str">
        <f>IFERROR(VLOOKUP($B49,'2. ITEM MASTER'!$A:$D,3,FALSE),"")</f>
        <v>Electronics</v>
      </c>
      <c r="E49">
        <v>24</v>
      </c>
      <c r="F49" t="s">
        <v>555</v>
      </c>
    </row>
    <row r="50" spans="1:6" x14ac:dyDescent="0.35">
      <c r="A50" t="s">
        <v>554</v>
      </c>
      <c r="B50" t="s">
        <v>167</v>
      </c>
      <c r="C50" t="str">
        <f>IFERROR(VLOOKUP($B50,'2. ITEM MASTER'!$A:$D,2,FALSE),"")</f>
        <v>CC TV CAMERA</v>
      </c>
      <c r="D50" t="str">
        <f>IFERROR(VLOOKUP($B50,'2. ITEM MASTER'!$A:$D,3,FALSE),"")</f>
        <v>Electronics</v>
      </c>
      <c r="E50">
        <v>9</v>
      </c>
      <c r="F50" t="s">
        <v>555</v>
      </c>
    </row>
    <row r="51" spans="1:6" x14ac:dyDescent="0.35">
      <c r="A51" t="s">
        <v>554</v>
      </c>
      <c r="B51" t="s">
        <v>169</v>
      </c>
      <c r="C51" t="str">
        <f>IFERROR(VLOOKUP($B51,'2. ITEM MASTER'!$A:$D,2,FALSE),"")</f>
        <v>DVR SET</v>
      </c>
      <c r="D51" t="str">
        <f>IFERROR(VLOOKUP($B51,'2. ITEM MASTER'!$A:$D,3,FALSE),"")</f>
        <v>Electronics</v>
      </c>
      <c r="E51">
        <v>2</v>
      </c>
      <c r="F51" t="s">
        <v>555</v>
      </c>
    </row>
    <row r="52" spans="1:6" x14ac:dyDescent="0.35">
      <c r="A52" t="s">
        <v>554</v>
      </c>
      <c r="B52" t="s">
        <v>171</v>
      </c>
      <c r="C52" t="str">
        <f>IFERROR(VLOOKUP($B52,'2. ITEM MASTER'!$A:$D,2,FALSE),"")</f>
        <v>SOLAR PANEL</v>
      </c>
      <c r="D52" t="str">
        <f>IFERROR(VLOOKUP($B52,'2. ITEM MASTER'!$A:$D,3,FALSE),"")</f>
        <v>Electronics</v>
      </c>
      <c r="E52">
        <v>60</v>
      </c>
      <c r="F52" t="s">
        <v>555</v>
      </c>
    </row>
    <row r="53" spans="1:6" x14ac:dyDescent="0.35">
      <c r="A53" t="s">
        <v>554</v>
      </c>
      <c r="B53" t="s">
        <v>173</v>
      </c>
      <c r="C53" t="str">
        <f>IFERROR(VLOOKUP($B53,'2. ITEM MASTER'!$A:$D,2,FALSE),"")</f>
        <v>SS SHEET 3000X1500 1.2 MM</v>
      </c>
      <c r="D53" t="str">
        <f>IFERROR(VLOOKUP($B53,'2. ITEM MASTER'!$A:$D,3,FALSE),"")</f>
        <v>Mechanical</v>
      </c>
      <c r="E53">
        <v>82</v>
      </c>
      <c r="F53" t="s">
        <v>555</v>
      </c>
    </row>
    <row r="54" spans="1:6" x14ac:dyDescent="0.35">
      <c r="A54" t="s">
        <v>554</v>
      </c>
      <c r="B54" t="s">
        <v>179</v>
      </c>
      <c r="C54" t="str">
        <f>IFERROR(VLOOKUP($B54,'2. ITEM MASTER'!$A:$D,2,FALSE),"")</f>
        <v>SS SHEET 8X4 1MM</v>
      </c>
      <c r="D54" t="str">
        <f>IFERROR(VLOOKUP($B54,'2. ITEM MASTER'!$A:$D,3,FALSE),"")</f>
        <v>Mechanical</v>
      </c>
      <c r="E54">
        <v>1</v>
      </c>
      <c r="F54" t="s">
        <v>555</v>
      </c>
    </row>
    <row r="55" spans="1:6" x14ac:dyDescent="0.35">
      <c r="A55" t="s">
        <v>554</v>
      </c>
      <c r="B55" t="s">
        <v>181</v>
      </c>
      <c r="C55" t="str">
        <f>IFERROR(VLOOKUP($B55,'2. ITEM MASTER'!$A:$D,2,FALSE),"")</f>
        <v>G I SHEET 8X4 1.2MM</v>
      </c>
      <c r="D55" t="str">
        <f>IFERROR(VLOOKUP($B55,'2. ITEM MASTER'!$A:$D,3,FALSE),"")</f>
        <v>Mechanical</v>
      </c>
      <c r="E55">
        <v>1</v>
      </c>
      <c r="F55" t="s">
        <v>555</v>
      </c>
    </row>
    <row r="56" spans="1:6" x14ac:dyDescent="0.35">
      <c r="A56" t="s">
        <v>554</v>
      </c>
      <c r="B56" t="s">
        <v>183</v>
      </c>
      <c r="C56" t="str">
        <f>IFERROR(VLOOKUP($B56,'2. ITEM MASTER'!$A:$D,2,FALSE),"")</f>
        <v>ACP PANNEL SILVER 8X4</v>
      </c>
      <c r="D56" t="str">
        <f>IFERROR(VLOOKUP($B56,'2. ITEM MASTER'!$A:$D,3,FALSE),"")</f>
        <v>Mechanical</v>
      </c>
      <c r="E56">
        <v>10</v>
      </c>
      <c r="F56" t="s">
        <v>555</v>
      </c>
    </row>
    <row r="57" spans="1:6" x14ac:dyDescent="0.35">
      <c r="A57" t="s">
        <v>554</v>
      </c>
      <c r="B57" t="s">
        <v>185</v>
      </c>
      <c r="C57" t="str">
        <f>IFERROR(VLOOKUP($B57,'2. ITEM MASTER'!$A:$D,2,FALSE),"")</f>
        <v>ACP PANNEL SILVER 10X4</v>
      </c>
      <c r="D57" t="str">
        <f>IFERROR(VLOOKUP($B57,'2. ITEM MASTER'!$A:$D,3,FALSE),"")</f>
        <v>Mechanical</v>
      </c>
      <c r="E57">
        <v>9</v>
      </c>
      <c r="F57" t="s">
        <v>555</v>
      </c>
    </row>
    <row r="58" spans="1:6" x14ac:dyDescent="0.35">
      <c r="A58" t="s">
        <v>554</v>
      </c>
      <c r="B58" t="s">
        <v>187</v>
      </c>
      <c r="C58" t="str">
        <f>IFERROR(VLOOKUP($B58,'2. ITEM MASTER'!$A:$D,2,FALSE),"")</f>
        <v>AC PANNEL SILVER 12X4</v>
      </c>
      <c r="D58" t="str">
        <f>IFERROR(VLOOKUP($B58,'2. ITEM MASTER'!$A:$D,3,FALSE),"")</f>
        <v>Mechanical</v>
      </c>
      <c r="E58">
        <v>8</v>
      </c>
      <c r="F58" t="s">
        <v>555</v>
      </c>
    </row>
    <row r="59" spans="1:6" x14ac:dyDescent="0.35">
      <c r="A59" t="s">
        <v>554</v>
      </c>
      <c r="B59" t="s">
        <v>189</v>
      </c>
      <c r="C59" t="str">
        <f>IFERROR(VLOOKUP($B59,'2. ITEM MASTER'!$A:$D,2,FALSE),"")</f>
        <v>AC PANNEL BALCK 12X4</v>
      </c>
      <c r="D59" t="str">
        <f>IFERROR(VLOOKUP($B59,'2. ITEM MASTER'!$A:$D,3,FALSE),"")</f>
        <v>Mechanical</v>
      </c>
      <c r="E59">
        <v>5</v>
      </c>
      <c r="F59" t="s">
        <v>555</v>
      </c>
    </row>
    <row r="60" spans="1:6" x14ac:dyDescent="0.35">
      <c r="A60" t="s">
        <v>554</v>
      </c>
      <c r="B60" t="s">
        <v>191</v>
      </c>
      <c r="C60" t="str">
        <f>IFERROR(VLOOKUP($B60,'2. ITEM MASTER'!$A:$D,2,FALSE),"")</f>
        <v>GI PIPE 50X50 1.6 MM</v>
      </c>
      <c r="D60" t="str">
        <f>IFERROR(VLOOKUP($B60,'2. ITEM MASTER'!$A:$D,3,FALSE),"")</f>
        <v>Mechanical</v>
      </c>
      <c r="E60">
        <v>3</v>
      </c>
      <c r="F60" t="s">
        <v>555</v>
      </c>
    </row>
    <row r="61" spans="1:6" x14ac:dyDescent="0.35">
      <c r="A61" t="s">
        <v>554</v>
      </c>
      <c r="B61" t="s">
        <v>193</v>
      </c>
      <c r="C61" t="str">
        <f>IFERROR(VLOOKUP($B61,'2. ITEM MASTER'!$A:$D,2,FALSE),"")</f>
        <v>GI PIPE 40X40 1.2MM</v>
      </c>
      <c r="D61" t="str">
        <f>IFERROR(VLOOKUP($B61,'2. ITEM MASTER'!$A:$D,3,FALSE),"")</f>
        <v>Mechanical</v>
      </c>
      <c r="E61">
        <v>2</v>
      </c>
      <c r="F61" t="s">
        <v>555</v>
      </c>
    </row>
    <row r="62" spans="1:6" x14ac:dyDescent="0.35">
      <c r="A62" t="s">
        <v>554</v>
      </c>
      <c r="B62" t="s">
        <v>195</v>
      </c>
      <c r="C62" t="str">
        <f>IFERROR(VLOOKUP($B62,'2. ITEM MASTER'!$A:$D,2,FALSE),"")</f>
        <v>GI PIPE 25X25 1.2 MM</v>
      </c>
      <c r="D62" t="str">
        <f>IFERROR(VLOOKUP($B62,'2. ITEM MASTER'!$A:$D,3,FALSE),"")</f>
        <v>Mechanical</v>
      </c>
      <c r="E62">
        <v>17</v>
      </c>
      <c r="F62" t="s">
        <v>555</v>
      </c>
    </row>
    <row r="63" spans="1:6" x14ac:dyDescent="0.35">
      <c r="A63" t="s">
        <v>554</v>
      </c>
      <c r="B63" t="s">
        <v>199</v>
      </c>
      <c r="C63" t="str">
        <f>IFERROR(VLOOKUP($B63,'2. ITEM MASTER'!$A:$D,2,FALSE),"")</f>
        <v>GI PIPE 25X50 1.2 MM</v>
      </c>
      <c r="D63" t="str">
        <f>IFERROR(VLOOKUP($B63,'2. ITEM MASTER'!$A:$D,3,FALSE),"")</f>
        <v>Mechanical</v>
      </c>
      <c r="E63">
        <v>5</v>
      </c>
      <c r="F63" t="s">
        <v>555</v>
      </c>
    </row>
    <row r="64" spans="1:6" x14ac:dyDescent="0.35">
      <c r="A64" t="s">
        <v>554</v>
      </c>
      <c r="B64" t="s">
        <v>203</v>
      </c>
      <c r="C64" t="str">
        <f>IFERROR(VLOOKUP($B64,'2. ITEM MASTER'!$A:$D,2,FALSE),"")</f>
        <v>SS PIPE 50X50 1.5MM</v>
      </c>
      <c r="D64" t="str">
        <f>IFERROR(VLOOKUP($B64,'2. ITEM MASTER'!$A:$D,3,FALSE),"")</f>
        <v>Mechanical</v>
      </c>
      <c r="E64">
        <v>4</v>
      </c>
      <c r="F64" t="s">
        <v>555</v>
      </c>
    </row>
    <row r="65" spans="1:6" x14ac:dyDescent="0.35">
      <c r="A65" t="s">
        <v>554</v>
      </c>
      <c r="B65" t="s">
        <v>209</v>
      </c>
      <c r="C65" t="str">
        <f>IFERROR(VLOOKUP($B65,'2. ITEM MASTER'!$A:$D,2,FALSE),"")</f>
        <v>SS PIPE 20X20 1.2 MM</v>
      </c>
      <c r="D65" t="str">
        <f>IFERROR(VLOOKUP($B65,'2. ITEM MASTER'!$A:$D,3,FALSE),"")</f>
        <v>Mechanical</v>
      </c>
      <c r="E65">
        <v>24</v>
      </c>
      <c r="F65" t="s">
        <v>555</v>
      </c>
    </row>
    <row r="66" spans="1:6" x14ac:dyDescent="0.35">
      <c r="A66" t="s">
        <v>554</v>
      </c>
      <c r="B66" t="s">
        <v>211</v>
      </c>
      <c r="C66" t="str">
        <f>IFERROR(VLOOKUP($B66,'2. ITEM MASTER'!$A:$D,2,FALSE),"")</f>
        <v>SS PIPE ROUND 50 1.2MM</v>
      </c>
      <c r="D66" t="str">
        <f>IFERROR(VLOOKUP($B66,'2. ITEM MASTER'!$A:$D,3,FALSE),"")</f>
        <v>Mechanical</v>
      </c>
      <c r="E66">
        <v>15</v>
      </c>
      <c r="F66" t="s">
        <v>555</v>
      </c>
    </row>
    <row r="67" spans="1:6" x14ac:dyDescent="0.35">
      <c r="A67" t="s">
        <v>554</v>
      </c>
      <c r="B67" t="s">
        <v>213</v>
      </c>
      <c r="C67" t="str">
        <f>IFERROR(VLOOKUP($B67,'2. ITEM MASTER'!$A:$D,2,FALSE),"")</f>
        <v>SS 50 MM ELBOW</v>
      </c>
      <c r="D67" t="str">
        <f>IFERROR(VLOOKUP($B67,'2. ITEM MASTER'!$A:$D,3,FALSE),"")</f>
        <v>Mechanical</v>
      </c>
      <c r="E67">
        <v>5</v>
      </c>
      <c r="F67" t="s">
        <v>555</v>
      </c>
    </row>
    <row r="68" spans="1:6" x14ac:dyDescent="0.35">
      <c r="A68" t="s">
        <v>554</v>
      </c>
      <c r="B68" t="s">
        <v>219</v>
      </c>
      <c r="C68" t="str">
        <f>IFERROR(VLOOKUP($B68,'2. ITEM MASTER'!$A:$D,2,FALSE),"")</f>
        <v>SS 50MM CANSHIL</v>
      </c>
      <c r="D68" t="str">
        <f>IFERROR(VLOOKUP($B68,'2. ITEM MASTER'!$A:$D,3,FALSE),"")</f>
        <v>Mechanical</v>
      </c>
      <c r="E68">
        <v>5</v>
      </c>
      <c r="F68" t="s">
        <v>555</v>
      </c>
    </row>
    <row r="69" spans="1:6" x14ac:dyDescent="0.35">
      <c r="A69" t="s">
        <v>554</v>
      </c>
      <c r="B69" t="s">
        <v>221</v>
      </c>
      <c r="C69" t="str">
        <f>IFERROR(VLOOKUP($B69,'2. ITEM MASTER'!$A:$D,2,FALSE),"")</f>
        <v>BODY LOCK DOOR</v>
      </c>
      <c r="D69" t="str">
        <f>IFERROR(VLOOKUP($B69,'2. ITEM MASTER'!$A:$D,3,FALSE),"")</f>
        <v>Mechanical</v>
      </c>
      <c r="E69">
        <v>51</v>
      </c>
      <c r="F69" t="s">
        <v>555</v>
      </c>
    </row>
    <row r="70" spans="1:6" x14ac:dyDescent="0.35">
      <c r="A70" t="s">
        <v>554</v>
      </c>
      <c r="B70" t="s">
        <v>223</v>
      </c>
      <c r="C70" t="str">
        <f>IFERROR(VLOOKUP($B70,'2. ITEM MASTER'!$A:$D,2,FALSE),"")</f>
        <v>TOWER BOLT</v>
      </c>
      <c r="D70" t="str">
        <f>IFERROR(VLOOKUP($B70,'2. ITEM MASTER'!$A:$D,3,FALSE),"")</f>
        <v>Mechanical</v>
      </c>
      <c r="E70">
        <v>14</v>
      </c>
      <c r="F70" t="s">
        <v>555</v>
      </c>
    </row>
    <row r="71" spans="1:6" x14ac:dyDescent="0.35">
      <c r="A71" t="s">
        <v>554</v>
      </c>
      <c r="B71" t="s">
        <v>225</v>
      </c>
      <c r="C71" t="str">
        <f>IFERROR(VLOOKUP($B71,'2. ITEM MASTER'!$A:$D,2,FALSE),"")</f>
        <v>PANAL LOCK</v>
      </c>
      <c r="D71" t="str">
        <f>IFERROR(VLOOKUP($B71,'2. ITEM MASTER'!$A:$D,3,FALSE),"")</f>
        <v>Mechanical</v>
      </c>
      <c r="E71">
        <v>50</v>
      </c>
      <c r="F71" t="s">
        <v>555</v>
      </c>
    </row>
    <row r="72" spans="1:6" x14ac:dyDescent="0.35">
      <c r="A72" t="s">
        <v>554</v>
      </c>
      <c r="B72" t="s">
        <v>227</v>
      </c>
      <c r="C72" t="str">
        <f>IFERROR(VLOOKUP($B72,'2. ITEM MASTER'!$A:$D,2,FALSE),"")</f>
        <v>SS HANDLE 8 INCH</v>
      </c>
      <c r="D72" t="str">
        <f>IFERROR(VLOOKUP($B72,'2. ITEM MASTER'!$A:$D,3,FALSE),"")</f>
        <v>Mechanical</v>
      </c>
      <c r="E72">
        <v>27</v>
      </c>
      <c r="F72" t="s">
        <v>555</v>
      </c>
    </row>
    <row r="73" spans="1:6" x14ac:dyDescent="0.35">
      <c r="A73" t="s">
        <v>554</v>
      </c>
      <c r="B73" t="s">
        <v>235</v>
      </c>
      <c r="C73" t="str">
        <f>IFERROR(VLOOKUP($B73,'2. ITEM MASTER'!$A:$D,2,FALSE),"")</f>
        <v>INDIAN LAVATORY PAN</v>
      </c>
      <c r="D73" t="str">
        <f>IFERROR(VLOOKUP($B73,'2. ITEM MASTER'!$A:$D,3,FALSE),"")</f>
        <v>Mechanical</v>
      </c>
      <c r="E73">
        <v>27</v>
      </c>
      <c r="F73" t="s">
        <v>555</v>
      </c>
    </row>
    <row r="74" spans="1:6" x14ac:dyDescent="0.35">
      <c r="A74" t="s">
        <v>554</v>
      </c>
      <c r="B74" t="s">
        <v>237</v>
      </c>
      <c r="C74" t="str">
        <f>IFERROR(VLOOKUP($B74,'2. ITEM MASTER'!$A:$D,2,FALSE),"")</f>
        <v>WESTERN COMMODE</v>
      </c>
      <c r="D74" t="str">
        <f>IFERROR(VLOOKUP($B74,'2. ITEM MASTER'!$A:$D,3,FALSE),"")</f>
        <v>Mechanical</v>
      </c>
      <c r="E74">
        <v>10</v>
      </c>
      <c r="F74" t="s">
        <v>555</v>
      </c>
    </row>
    <row r="75" spans="1:6" x14ac:dyDescent="0.35">
      <c r="A75" t="s">
        <v>554</v>
      </c>
      <c r="B75" t="s">
        <v>239</v>
      </c>
      <c r="C75" t="str">
        <f>IFERROR(VLOOKUP($B75,'2. ITEM MASTER'!$A:$D,2,FALSE),"")</f>
        <v>URNIAL MALE</v>
      </c>
      <c r="D75" t="str">
        <f>IFERROR(VLOOKUP($B75,'2. ITEM MASTER'!$A:$D,3,FALSE),"")</f>
        <v>Mechanical</v>
      </c>
      <c r="E75">
        <v>1</v>
      </c>
      <c r="F75" t="s">
        <v>555</v>
      </c>
    </row>
    <row r="76" spans="1:6" x14ac:dyDescent="0.35">
      <c r="A76" t="s">
        <v>554</v>
      </c>
      <c r="B76" t="s">
        <v>241</v>
      </c>
      <c r="C76" t="str">
        <f>IFERROR(VLOOKUP($B76,'2. ITEM MASTER'!$A:$D,2,FALSE),"")</f>
        <v>URNIAL  FEMALE</v>
      </c>
      <c r="D76" t="str">
        <f>IFERROR(VLOOKUP($B76,'2. ITEM MASTER'!$A:$D,3,FALSE),"")</f>
        <v>Mechanical</v>
      </c>
      <c r="E76">
        <v>2</v>
      </c>
      <c r="F76" t="s">
        <v>555</v>
      </c>
    </row>
    <row r="77" spans="1:6" x14ac:dyDescent="0.35">
      <c r="A77" t="s">
        <v>554</v>
      </c>
      <c r="B77" t="s">
        <v>277</v>
      </c>
      <c r="C77" t="str">
        <f>IFERROR(VLOOKUP($B77,'2. ITEM MASTER'!$A:$D,2,FALSE),"")</f>
        <v>BABY LATCH</v>
      </c>
      <c r="D77" t="str">
        <f>IFERROR(VLOOKUP($B77,'2. ITEM MASTER'!$A:$D,3,FALSE),"")</f>
        <v>Mechanical</v>
      </c>
      <c r="E77">
        <v>46</v>
      </c>
      <c r="F77" t="s">
        <v>555</v>
      </c>
    </row>
    <row r="78" spans="1:6" x14ac:dyDescent="0.35">
      <c r="A78" t="s">
        <v>554</v>
      </c>
      <c r="B78" t="s">
        <v>367</v>
      </c>
      <c r="C78" t="str">
        <f>IFERROR(VLOOKUP($B78,'2. ITEM MASTER'!$A:$D,2,FALSE),"")</f>
        <v>WATER TANK 500</v>
      </c>
      <c r="D78" t="str">
        <f>IFERROR(VLOOKUP($B78,'2. ITEM MASTER'!$A:$D,3,FALSE),"")</f>
        <v>Plumbing</v>
      </c>
      <c r="E78">
        <v>12</v>
      </c>
      <c r="F78" t="s">
        <v>555</v>
      </c>
    </row>
    <row r="79" spans="1:6" x14ac:dyDescent="0.35">
      <c r="A79" t="s">
        <v>554</v>
      </c>
      <c r="B79" t="s">
        <v>369</v>
      </c>
      <c r="C79" t="str">
        <f>IFERROR(VLOOKUP($B79,'2. ITEM MASTER'!$A:$D,2,FALSE),"")</f>
        <v>WATER TANK 400</v>
      </c>
      <c r="D79" t="str">
        <f>IFERROR(VLOOKUP($B79,'2. ITEM MASTER'!$A:$D,3,FALSE),"")</f>
        <v>Plumbing</v>
      </c>
      <c r="E79">
        <v>3</v>
      </c>
      <c r="F79" t="s">
        <v>555</v>
      </c>
    </row>
    <row r="80" spans="1:6" x14ac:dyDescent="0.35">
      <c r="A80" t="s">
        <v>554</v>
      </c>
      <c r="B80" t="s">
        <v>399</v>
      </c>
      <c r="C80" t="str">
        <f>IFERROR(VLOOKUP($B80,'2. ITEM MASTER'!$A:$D,2,FALSE),"")</f>
        <v>SS HOOKE PANEL</v>
      </c>
      <c r="D80" t="str">
        <f>IFERROR(VLOOKUP($B80,'2. ITEM MASTER'!$A:$D,3,FALSE),"")</f>
        <v>Plumbing</v>
      </c>
      <c r="E80">
        <v>60</v>
      </c>
      <c r="F80" t="s">
        <v>555</v>
      </c>
    </row>
    <row r="81" spans="1:6" x14ac:dyDescent="0.35">
      <c r="A81" t="s">
        <v>554</v>
      </c>
      <c r="B81" t="s">
        <v>401</v>
      </c>
      <c r="C81" t="str">
        <f>IFERROR(VLOOKUP($B81,'2. ITEM MASTER'!$A:$D,2,FALSE),"")</f>
        <v>ENGLISH TOLIAT TOP COVER</v>
      </c>
      <c r="D81" t="str">
        <f>IFERROR(VLOOKUP($B81,'2. ITEM MASTER'!$A:$D,3,FALSE),"")</f>
        <v>Plumbing</v>
      </c>
      <c r="E81">
        <v>5</v>
      </c>
      <c r="F81" t="s">
        <v>555</v>
      </c>
    </row>
    <row r="82" spans="1:6" x14ac:dyDescent="0.35">
      <c r="A82" t="s">
        <v>554</v>
      </c>
      <c r="B82" t="s">
        <v>427</v>
      </c>
      <c r="C82" t="str">
        <f>IFERROR(VLOOKUP($B82,'2. ITEM MASTER'!$A:$D,2,FALSE),"")</f>
        <v>MS PIPE 20X20 1.2 MM</v>
      </c>
      <c r="D82" t="str">
        <f>IFERROR(VLOOKUP($B82,'2. ITEM MASTER'!$A:$D,3,FALSE),"")</f>
        <v>Mechanical</v>
      </c>
      <c r="E82">
        <v>21</v>
      </c>
      <c r="F82" t="s">
        <v>555</v>
      </c>
    </row>
    <row r="83" spans="1:6" x14ac:dyDescent="0.35">
      <c r="A83" t="s">
        <v>554</v>
      </c>
      <c r="B83" t="s">
        <v>429</v>
      </c>
      <c r="C83" t="str">
        <f>IFERROR(VLOOKUP($B83,'2. ITEM MASTER'!$A:$D,2,FALSE),"")</f>
        <v>SS CHEKERE PLAT 8X4 3000X1500</v>
      </c>
      <c r="D83" t="str">
        <f>IFERROR(VLOOKUP($B83,'2. ITEM MASTER'!$A:$D,3,FALSE),"")</f>
        <v>Mechanical</v>
      </c>
      <c r="E83">
        <v>40</v>
      </c>
      <c r="F83" t="s">
        <v>555</v>
      </c>
    </row>
    <row r="84" spans="1:6" x14ac:dyDescent="0.35">
      <c r="A84" t="s">
        <v>554</v>
      </c>
      <c r="B84" t="s">
        <v>431</v>
      </c>
      <c r="C84" t="str">
        <f>IFERROR(VLOOKUP($B84,'2. ITEM MASTER'!$A:$D,2,FALSE),"")</f>
        <v>PCB  BOARDS</v>
      </c>
      <c r="D84" t="str">
        <f>IFERROR(VLOOKUP($B84,'2. ITEM MASTER'!$A:$D,3,FALSE),"")</f>
        <v>Electronics</v>
      </c>
      <c r="E84">
        <v>53</v>
      </c>
      <c r="F84" t="s">
        <v>555</v>
      </c>
    </row>
    <row r="85" spans="1:6" x14ac:dyDescent="0.35">
      <c r="A85" t="s">
        <v>554</v>
      </c>
      <c r="B85" t="s">
        <v>433</v>
      </c>
      <c r="C85" t="str">
        <f>IFERROR(VLOOKUP($B85,'2. ITEM MASTER'!$A:$D,2,FALSE),"")</f>
        <v>RELAY  PCB</v>
      </c>
      <c r="D85" t="str">
        <f>IFERROR(VLOOKUP($B85,'2. ITEM MASTER'!$A:$D,3,FALSE),"")</f>
        <v>Electronics</v>
      </c>
      <c r="E85">
        <v>100</v>
      </c>
      <c r="F85" t="s">
        <v>555</v>
      </c>
    </row>
    <row r="86" spans="1:6" x14ac:dyDescent="0.35">
      <c r="A86" t="s">
        <v>554</v>
      </c>
      <c r="B86" t="s">
        <v>435</v>
      </c>
      <c r="C86" t="str">
        <f>IFERROR(VLOOKUP($B86,'2. ITEM MASTER'!$A:$D,2,FALSE),"")</f>
        <v>GSM  ANTENNA</v>
      </c>
      <c r="D86" t="str">
        <f>IFERROR(VLOOKUP($B86,'2. ITEM MASTER'!$A:$D,3,FALSE),"")</f>
        <v>Electronics</v>
      </c>
      <c r="E86">
        <v>100</v>
      </c>
      <c r="F86" t="s">
        <v>555</v>
      </c>
    </row>
    <row r="87" spans="1:6" x14ac:dyDescent="0.35">
      <c r="A87" t="s">
        <v>554</v>
      </c>
      <c r="B87" t="s">
        <v>437</v>
      </c>
      <c r="C87" t="str">
        <f>IFERROR(VLOOKUP($B87,'2. ITEM MASTER'!$A:$D,2,FALSE),"")</f>
        <v>LCD  DISPLAY</v>
      </c>
      <c r="D87" t="str">
        <f>IFERROR(VLOOKUP($B87,'2. ITEM MASTER'!$A:$D,3,FALSE),"")</f>
        <v>Electronics</v>
      </c>
      <c r="E87">
        <v>60</v>
      </c>
      <c r="F87" t="s">
        <v>555</v>
      </c>
    </row>
    <row r="88" spans="1:6" x14ac:dyDescent="0.35">
      <c r="A88" t="s">
        <v>554</v>
      </c>
      <c r="B88" t="s">
        <v>439</v>
      </c>
      <c r="C88" t="str">
        <f>IFERROR(VLOOKUP($B88,'2. ITEM MASTER'!$A:$D,2,FALSE),"")</f>
        <v>FRP CABLE</v>
      </c>
      <c r="D88" t="str">
        <f>IFERROR(VLOOKUP($B88,'2. ITEM MASTER'!$A:$D,3,FALSE),"")</f>
        <v>Electronics</v>
      </c>
      <c r="E88">
        <v>100</v>
      </c>
      <c r="F88" t="s">
        <v>555</v>
      </c>
    </row>
    <row r="89" spans="1:6" x14ac:dyDescent="0.35">
      <c r="A89" t="s">
        <v>554</v>
      </c>
      <c r="B89" t="s">
        <v>441</v>
      </c>
      <c r="C89" t="str">
        <f>IFERROR(VLOOKUP($B89,'2. ITEM MASTER'!$A:$D,2,FALSE),"")</f>
        <v>PCB BIG CONNECTOR</v>
      </c>
      <c r="D89" t="str">
        <f>IFERROR(VLOOKUP($B89,'2. ITEM MASTER'!$A:$D,3,FALSE),"")</f>
        <v>Electronics</v>
      </c>
      <c r="E89">
        <v>70</v>
      </c>
      <c r="F89" t="s">
        <v>555</v>
      </c>
    </row>
    <row r="90" spans="1:6" x14ac:dyDescent="0.35">
      <c r="A90" t="s">
        <v>554</v>
      </c>
      <c r="B90" t="s">
        <v>443</v>
      </c>
      <c r="C90" t="str">
        <f>IFERROR(VLOOKUP($B90,'2. ITEM MASTER'!$A:$D,2,FALSE),"")</f>
        <v>PCB SMALL  CONNECTOR</v>
      </c>
      <c r="D90" t="str">
        <f>IFERROR(VLOOKUP($B90,'2. ITEM MASTER'!$A:$D,3,FALSE),"")</f>
        <v>Electronics</v>
      </c>
      <c r="E90">
        <v>140</v>
      </c>
      <c r="F90" t="s">
        <v>555</v>
      </c>
    </row>
    <row r="91" spans="1:6" x14ac:dyDescent="0.35">
      <c r="A91" t="s">
        <v>554</v>
      </c>
      <c r="B91" t="s">
        <v>445</v>
      </c>
      <c r="C91" t="str">
        <f>IFERROR(VLOOKUP($B91,'2. ITEM MASTER'!$A:$D,2,FALSE),"")</f>
        <v>32 AMP (ELCB)</v>
      </c>
      <c r="D91" t="str">
        <f>IFERROR(VLOOKUP($B91,'2. ITEM MASTER'!$A:$D,3,FALSE),"")</f>
        <v>Electronics</v>
      </c>
      <c r="E91">
        <v>31</v>
      </c>
      <c r="F91" t="s">
        <v>555</v>
      </c>
    </row>
    <row r="92" spans="1:6" x14ac:dyDescent="0.35">
      <c r="A92" t="s">
        <v>554</v>
      </c>
      <c r="B92" t="s">
        <v>447</v>
      </c>
      <c r="C92" t="str">
        <f>IFERROR(VLOOKUP($B92,'2. ITEM MASTER'!$A:$D,2,FALSE),"")</f>
        <v>SMPS 12V (2.1 AMP)</v>
      </c>
      <c r="D92" t="str">
        <f>IFERROR(VLOOKUP($B92,'2. ITEM MASTER'!$A:$D,3,FALSE),"")</f>
        <v>Electronics</v>
      </c>
      <c r="E92">
        <v>73</v>
      </c>
      <c r="F92" t="s">
        <v>555</v>
      </c>
    </row>
    <row r="93" spans="1:6" x14ac:dyDescent="0.35">
      <c r="A93" t="s">
        <v>554</v>
      </c>
      <c r="B93" t="s">
        <v>449</v>
      </c>
      <c r="C93" t="str">
        <f>IFERROR(VLOOKUP($B93,'2. ITEM MASTER'!$A:$D,2,FALSE),"")</f>
        <v>MCB 10 A 1P</v>
      </c>
      <c r="D93" t="str">
        <f>IFERROR(VLOOKUP($B93,'2. ITEM MASTER'!$A:$D,3,FALSE),"")</f>
        <v>Electronics</v>
      </c>
      <c r="E93">
        <v>23</v>
      </c>
      <c r="F93" t="s">
        <v>555</v>
      </c>
    </row>
    <row r="94" spans="1:6" x14ac:dyDescent="0.35">
      <c r="A94" t="s">
        <v>554</v>
      </c>
      <c r="B94" t="s">
        <v>451</v>
      </c>
      <c r="C94" t="str">
        <f>IFERROR(VLOOKUP($B94,'2. ITEM MASTER'!$A:$D,2,FALSE),"")</f>
        <v>MCB 16 A 2P</v>
      </c>
      <c r="D94" t="str">
        <f>IFERROR(VLOOKUP($B94,'2. ITEM MASTER'!$A:$D,3,FALSE),"")</f>
        <v>Electronics</v>
      </c>
      <c r="E94">
        <v>5</v>
      </c>
      <c r="F94" t="s">
        <v>555</v>
      </c>
    </row>
    <row r="95" spans="1:6" x14ac:dyDescent="0.35">
      <c r="A95" t="s">
        <v>554</v>
      </c>
      <c r="B95" t="s">
        <v>453</v>
      </c>
      <c r="C95" t="str">
        <f>IFERROR(VLOOKUP($B95,'2. ITEM MASTER'!$A:$D,2,FALSE),"")</f>
        <v>LIMIT SWITCH BIG</v>
      </c>
      <c r="D95" t="str">
        <f>IFERROR(VLOOKUP($B95,'2. ITEM MASTER'!$A:$D,3,FALSE),"")</f>
        <v>Electronics</v>
      </c>
      <c r="E95">
        <v>9</v>
      </c>
      <c r="F95" t="s">
        <v>555</v>
      </c>
    </row>
    <row r="96" spans="1:6" x14ac:dyDescent="0.35">
      <c r="A96" t="s">
        <v>554</v>
      </c>
      <c r="B96" t="s">
        <v>455</v>
      </c>
      <c r="C96" t="str">
        <f>IFERROR(VLOOKUP($B96,'2. ITEM MASTER'!$A:$D,2,FALSE),"")</f>
        <v>LIMIT SWITCH MICRO</v>
      </c>
      <c r="D96" t="str">
        <f>IFERROR(VLOOKUP($B96,'2. ITEM MASTER'!$A:$D,3,FALSE),"")</f>
        <v>Electronics</v>
      </c>
      <c r="E96">
        <v>13</v>
      </c>
      <c r="F96" t="s">
        <v>555</v>
      </c>
    </row>
    <row r="97" spans="1:6" x14ac:dyDescent="0.35">
      <c r="A97" t="s">
        <v>554</v>
      </c>
      <c r="B97" t="s">
        <v>457</v>
      </c>
      <c r="C97" t="str">
        <f>IFERROR(VLOOKUP($B97,'2. ITEM MASTER'!$A:$D,2,FALSE),"")</f>
        <v>LDR  SENSOR</v>
      </c>
      <c r="D97" t="str">
        <f>IFERROR(VLOOKUP($B97,'2. ITEM MASTER'!$A:$D,3,FALSE),"")</f>
        <v>Electronics</v>
      </c>
      <c r="E97">
        <v>63</v>
      </c>
      <c r="F97" t="s">
        <v>555</v>
      </c>
    </row>
    <row r="98" spans="1:6" x14ac:dyDescent="0.35">
      <c r="A98" t="s">
        <v>554</v>
      </c>
      <c r="B98" t="s">
        <v>459</v>
      </c>
      <c r="C98" t="str">
        <f>IFERROR(VLOOKUP($B98,'2. ITEM MASTER'!$A:$D,2,FALSE),"")</f>
        <v>PUSH  BUTTON</v>
      </c>
      <c r="D98" t="str">
        <f>IFERROR(VLOOKUP($B98,'2. ITEM MASTER'!$A:$D,3,FALSE),"")</f>
        <v>Electronics</v>
      </c>
      <c r="E98">
        <v>73</v>
      </c>
      <c r="F98" t="s">
        <v>555</v>
      </c>
    </row>
    <row r="99" spans="1:6" x14ac:dyDescent="0.35">
      <c r="A99" t="s">
        <v>554</v>
      </c>
      <c r="B99" t="s">
        <v>461</v>
      </c>
      <c r="C99" t="str">
        <f>IFERROR(VLOOKUP($B99,'2. ITEM MASTER'!$A:$D,2,FALSE),"")</f>
        <v>PB CONNECTOR</v>
      </c>
      <c r="D99" t="str">
        <f>IFERROR(VLOOKUP($B99,'2. ITEM MASTER'!$A:$D,3,FALSE),"")</f>
        <v>Electronics</v>
      </c>
      <c r="E99">
        <v>33</v>
      </c>
      <c r="F99" t="s">
        <v>555</v>
      </c>
    </row>
    <row r="100" spans="1:6" x14ac:dyDescent="0.35">
      <c r="A100" t="s">
        <v>554</v>
      </c>
      <c r="B100" t="s">
        <v>463</v>
      </c>
      <c r="C100" t="str">
        <f>IFERROR(VLOOKUP($B100,'2. ITEM MASTER'!$A:$D,2,FALSE),"")</f>
        <v>SOLENOID VALVE (0.5 inch)</v>
      </c>
      <c r="D100" t="str">
        <f>IFERROR(VLOOKUP($B100,'2. ITEM MASTER'!$A:$D,3,FALSE),"")</f>
        <v>Electronics</v>
      </c>
      <c r="E100">
        <v>16</v>
      </c>
      <c r="F100" t="s">
        <v>555</v>
      </c>
    </row>
    <row r="101" spans="1:6" x14ac:dyDescent="0.35">
      <c r="A101" t="s">
        <v>554</v>
      </c>
      <c r="B101" t="s">
        <v>465</v>
      </c>
      <c r="C101" t="str">
        <f>IFERROR(VLOOKUP($B101,'2. ITEM MASTER'!$A:$D,2,FALSE),"")</f>
        <v>SOLENOID VALVE (1 inch)</v>
      </c>
      <c r="D101" t="str">
        <f>IFERROR(VLOOKUP($B101,'2. ITEM MASTER'!$A:$D,3,FALSE),"")</f>
        <v>Electronics</v>
      </c>
      <c r="E101">
        <v>207</v>
      </c>
      <c r="F101" t="s">
        <v>555</v>
      </c>
    </row>
    <row r="102" spans="1:6" x14ac:dyDescent="0.35">
      <c r="A102" t="s">
        <v>554</v>
      </c>
      <c r="B102" t="s">
        <v>467</v>
      </c>
      <c r="C102" t="str">
        <f>IFERROR(VLOOKUP($B102,'2. ITEM MASTER'!$A:$D,2,FALSE),"")</f>
        <v>RED INDICATOR  (2watt)</v>
      </c>
      <c r="D102" t="str">
        <f>IFERROR(VLOOKUP($B102,'2. ITEM MASTER'!$A:$D,3,FALSE),"")</f>
        <v>Electronics</v>
      </c>
      <c r="E102">
        <v>32</v>
      </c>
      <c r="F102" t="s">
        <v>555</v>
      </c>
    </row>
    <row r="103" spans="1:6" x14ac:dyDescent="0.35">
      <c r="A103" t="s">
        <v>554</v>
      </c>
      <c r="B103" t="s">
        <v>469</v>
      </c>
      <c r="C103" t="str">
        <f>IFERROR(VLOOKUP($B103,'2. ITEM MASTER'!$A:$D,2,FALSE),"")</f>
        <v>GREEN INDICATOR  (2watt)</v>
      </c>
      <c r="D103" t="str">
        <f>IFERROR(VLOOKUP($B103,'2. ITEM MASTER'!$A:$D,3,FALSE),"")</f>
        <v>Electronics</v>
      </c>
      <c r="E103">
        <v>26</v>
      </c>
      <c r="F103" t="s">
        <v>555</v>
      </c>
    </row>
    <row r="104" spans="1:6" x14ac:dyDescent="0.35">
      <c r="A104" t="s">
        <v>554</v>
      </c>
      <c r="B104" t="s">
        <v>471</v>
      </c>
      <c r="C104" t="str">
        <f>IFERROR(VLOOKUP($B104,'2. ITEM MASTER'!$A:$D,2,FALSE),"")</f>
        <v>PANASONIC LIGHT  (3 watt)</v>
      </c>
      <c r="D104" t="str">
        <f>IFERROR(VLOOKUP($B104,'2. ITEM MASTER'!$A:$D,3,FALSE),"")</f>
        <v>Electronics</v>
      </c>
      <c r="E104">
        <v>116</v>
      </c>
      <c r="F104" t="s">
        <v>555</v>
      </c>
    </row>
    <row r="105" spans="1:6" x14ac:dyDescent="0.35">
      <c r="A105" t="s">
        <v>554</v>
      </c>
      <c r="B105" t="s">
        <v>473</v>
      </c>
      <c r="C105" t="str">
        <f>IFERROR(VLOOKUP($B105,'2. ITEM MASTER'!$A:$D,2,FALSE),"")</f>
        <v>ACTUATOR</v>
      </c>
      <c r="D105" t="str">
        <f>IFERROR(VLOOKUP($B105,'2. ITEM MASTER'!$A:$D,3,FALSE),"")</f>
        <v>Electronics</v>
      </c>
      <c r="E105">
        <v>90</v>
      </c>
      <c r="F105" t="s">
        <v>555</v>
      </c>
    </row>
    <row r="106" spans="1:6" x14ac:dyDescent="0.35">
      <c r="A106" t="s">
        <v>554</v>
      </c>
      <c r="B106" t="s">
        <v>475</v>
      </c>
      <c r="C106" t="str">
        <f>IFERROR(VLOOKUP($B106,'2. ITEM MASTER'!$A:$D,2,FALSE),"")</f>
        <v>COIN ACCEPTOR</v>
      </c>
      <c r="D106" t="str">
        <f>IFERROR(VLOOKUP($B106,'2. ITEM MASTER'!$A:$D,3,FALSE),"")</f>
        <v>Electronics</v>
      </c>
      <c r="E106">
        <v>5</v>
      </c>
      <c r="F106" t="s">
        <v>555</v>
      </c>
    </row>
    <row r="107" spans="1:6" x14ac:dyDescent="0.35">
      <c r="A107" t="s">
        <v>554</v>
      </c>
      <c r="B107" t="s">
        <v>477</v>
      </c>
      <c r="C107" t="str">
        <f>IFERROR(VLOOKUP($B107,'2. ITEM MASTER'!$A:$D,2,FALSE),"")</f>
        <v>BUZZER</v>
      </c>
      <c r="D107" t="str">
        <f>IFERROR(VLOOKUP($B107,'2. ITEM MASTER'!$A:$D,3,FALSE),"")</f>
        <v>Electronics</v>
      </c>
      <c r="E107">
        <v>15</v>
      </c>
      <c r="F107" t="s">
        <v>555</v>
      </c>
    </row>
    <row r="108" spans="1:6" x14ac:dyDescent="0.35">
      <c r="A108" t="s">
        <v>554</v>
      </c>
      <c r="B108" t="s">
        <v>479</v>
      </c>
      <c r="C108" t="str">
        <f>IFERROR(VLOOKUP($B108,'2. ITEM MASTER'!$A:$D,2,FALSE),"")</f>
        <v>EX-HUST FAN</v>
      </c>
      <c r="D108" t="str">
        <f>IFERROR(VLOOKUP($B108,'2. ITEM MASTER'!$A:$D,3,FALSE),"")</f>
        <v>Electronics</v>
      </c>
      <c r="E108">
        <v>6</v>
      </c>
      <c r="F108" t="s">
        <v>555</v>
      </c>
    </row>
    <row r="109" spans="1:6" x14ac:dyDescent="0.35">
      <c r="A109" t="s">
        <v>554</v>
      </c>
      <c r="B109" t="s">
        <v>481</v>
      </c>
      <c r="C109" t="str">
        <f>IFERROR(VLOOKUP($B109,'2. ITEM MASTER'!$A:$D,2,FALSE),"")</f>
        <v>TOP PIN 6 AMP</v>
      </c>
      <c r="D109" t="str">
        <f>IFERROR(VLOOKUP($B109,'2. ITEM MASTER'!$A:$D,3,FALSE),"")</f>
        <v>Electronics</v>
      </c>
      <c r="E109">
        <v>24</v>
      </c>
      <c r="F109" t="s">
        <v>555</v>
      </c>
    </row>
    <row r="110" spans="1:6" x14ac:dyDescent="0.35">
      <c r="A110" t="s">
        <v>554</v>
      </c>
      <c r="B110" t="s">
        <v>483</v>
      </c>
      <c r="C110" t="str">
        <f>IFERROR(VLOOKUP($B110,'2. ITEM MASTER'!$A:$D,2,FALSE),"")</f>
        <v>PLUG  BOARDS</v>
      </c>
      <c r="D110" t="str">
        <f>IFERROR(VLOOKUP($B110,'2. ITEM MASTER'!$A:$D,3,FALSE),"")</f>
        <v>Electronics</v>
      </c>
      <c r="E110">
        <v>15</v>
      </c>
      <c r="F110" t="s">
        <v>555</v>
      </c>
    </row>
    <row r="111" spans="1:6" x14ac:dyDescent="0.35">
      <c r="A111" t="s">
        <v>554</v>
      </c>
      <c r="B111" t="s">
        <v>485</v>
      </c>
      <c r="C111" t="str">
        <f>IFERROR(VLOOKUP($B111,'2. ITEM MASTER'!$A:$D,2,FALSE),"")</f>
        <v>SOCKET</v>
      </c>
      <c r="D111" t="str">
        <f>IFERROR(VLOOKUP($B111,'2. ITEM MASTER'!$A:$D,3,FALSE),"")</f>
        <v>Electronics</v>
      </c>
      <c r="E111">
        <v>30</v>
      </c>
      <c r="F111" t="s">
        <v>555</v>
      </c>
    </row>
    <row r="112" spans="1:6" x14ac:dyDescent="0.35">
      <c r="A112" t="s">
        <v>554</v>
      </c>
      <c r="B112" t="s">
        <v>487</v>
      </c>
      <c r="C112" t="str">
        <f>IFERROR(VLOOKUP($B112,'2. ITEM MASTER'!$A:$D,2,FALSE),"")</f>
        <v>SWITCH</v>
      </c>
      <c r="D112" t="str">
        <f>IFERROR(VLOOKUP($B112,'2. ITEM MASTER'!$A:$D,3,FALSE),"")</f>
        <v>Electronics</v>
      </c>
      <c r="E112">
        <v>11</v>
      </c>
      <c r="F112" t="s">
        <v>555</v>
      </c>
    </row>
    <row r="113" spans="1:6" x14ac:dyDescent="0.35">
      <c r="A113" t="s">
        <v>554</v>
      </c>
      <c r="B113" t="s">
        <v>489</v>
      </c>
      <c r="C113" t="str">
        <f>IFERROR(VLOOKUP($B113,'2. ITEM MASTER'!$A:$D,2,FALSE),"")</f>
        <v>MCB DB BOARD</v>
      </c>
      <c r="D113" t="str">
        <f>IFERROR(VLOOKUP($B113,'2. ITEM MASTER'!$A:$D,3,FALSE),"")</f>
        <v>Electronics</v>
      </c>
      <c r="E113">
        <v>11</v>
      </c>
      <c r="F113" t="s">
        <v>555</v>
      </c>
    </row>
    <row r="114" spans="1:6" x14ac:dyDescent="0.35">
      <c r="A114" t="s">
        <v>554</v>
      </c>
      <c r="B114" t="s">
        <v>491</v>
      </c>
      <c r="C114" t="str">
        <f>IFERROR(VLOOKUP($B114,'2. ITEM MASTER'!$A:$D,2,FALSE),"")</f>
        <v>E.CONTROL PANEL SS 316</v>
      </c>
      <c r="D114" t="str">
        <f>IFERROR(VLOOKUP($B114,'2. ITEM MASTER'!$A:$D,3,FALSE),"")</f>
        <v>Electronics</v>
      </c>
      <c r="E114">
        <v>28</v>
      </c>
      <c r="F114" t="s">
        <v>555</v>
      </c>
    </row>
    <row r="115" spans="1:6" x14ac:dyDescent="0.35">
      <c r="A115" t="s">
        <v>554</v>
      </c>
      <c r="B115" t="s">
        <v>495</v>
      </c>
      <c r="C115" t="str">
        <f>IFERROR(VLOOKUP($B115,'2. ITEM MASTER'!$A:$D,2,FALSE),"")</f>
        <v>INVERTER</v>
      </c>
      <c r="D115" t="str">
        <f>IFERROR(VLOOKUP($B115,'2. ITEM MASTER'!$A:$D,3,FALSE),"")</f>
        <v>Electronics</v>
      </c>
      <c r="E115">
        <v>2</v>
      </c>
      <c r="F115" t="s">
        <v>555</v>
      </c>
    </row>
    <row r="116" spans="1:6" x14ac:dyDescent="0.35">
      <c r="A116" t="s">
        <v>554</v>
      </c>
      <c r="B116" t="s">
        <v>497</v>
      </c>
      <c r="C116" t="str">
        <f>IFERROR(VLOOKUP($B116,'2. ITEM MASTER'!$A:$D,2,FALSE),"")</f>
        <v>BATTERY</v>
      </c>
      <c r="D116" t="str">
        <f>IFERROR(VLOOKUP($B116,'2. ITEM MASTER'!$A:$D,3,FALSE),"")</f>
        <v>Electronics</v>
      </c>
      <c r="E116">
        <v>3</v>
      </c>
      <c r="F116" t="s">
        <v>555</v>
      </c>
    </row>
    <row r="117" spans="1:6" x14ac:dyDescent="0.35">
      <c r="A117" t="s">
        <v>554</v>
      </c>
      <c r="B117" t="s">
        <v>499</v>
      </c>
      <c r="C117" t="str">
        <f>IFERROR(VLOOKUP($B117,'2. ITEM MASTER'!$A:$D,2,FALSE),"")</f>
        <v>EARTHING  PLATE</v>
      </c>
      <c r="D117" t="str">
        <f>IFERROR(VLOOKUP($B117,'2. ITEM MASTER'!$A:$D,3,FALSE),"")</f>
        <v>Electronics</v>
      </c>
      <c r="E117">
        <v>33</v>
      </c>
      <c r="F117" t="s">
        <v>555</v>
      </c>
    </row>
    <row r="118" spans="1:6" x14ac:dyDescent="0.35">
      <c r="A118" t="s">
        <v>554</v>
      </c>
      <c r="B118" t="s">
        <v>501</v>
      </c>
      <c r="C118" t="str">
        <f>IFERROR(VLOOKUP($B118,'2. ITEM MASTER'!$A:$D,2,FALSE),"")</f>
        <v>EARTHING  WIRE</v>
      </c>
      <c r="D118" t="str">
        <f>IFERROR(VLOOKUP($B118,'2. ITEM MASTER'!$A:$D,3,FALSE),"")</f>
        <v>Electronics</v>
      </c>
      <c r="E118">
        <v>19</v>
      </c>
      <c r="F118" t="s">
        <v>555</v>
      </c>
    </row>
    <row r="119" spans="1:6" x14ac:dyDescent="0.35">
      <c r="A119" t="s">
        <v>554</v>
      </c>
      <c r="B119" t="s">
        <v>503</v>
      </c>
      <c r="C119" t="str">
        <f>IFERROR(VLOOKUP($B119,'2. ITEM MASTER'!$A:$D,2,FALSE),"")</f>
        <v>1/2 HP PRESSURE MOTOR</v>
      </c>
      <c r="D119" t="str">
        <f>IFERROR(VLOOKUP($B119,'2. ITEM MASTER'!$A:$D,3,FALSE),"")</f>
        <v>Electronics</v>
      </c>
      <c r="E119">
        <v>4</v>
      </c>
      <c r="F119" t="s">
        <v>555</v>
      </c>
    </row>
    <row r="120" spans="1:6" x14ac:dyDescent="0.35">
      <c r="A120" t="s">
        <v>554</v>
      </c>
      <c r="B120" t="s">
        <v>505</v>
      </c>
      <c r="C120" t="str">
        <f>IFERROR(VLOOKUP($B120,'2. ITEM MASTER'!$A:$D,2,FALSE),"")</f>
        <v>SOLAR PLATE</v>
      </c>
      <c r="D120" t="str">
        <f>IFERROR(VLOOKUP($B120,'2. ITEM MASTER'!$A:$D,3,FALSE),"")</f>
        <v>Electronics</v>
      </c>
      <c r="E120">
        <v>56</v>
      </c>
      <c r="F120" t="s">
        <v>555</v>
      </c>
    </row>
    <row r="121" spans="1:6" x14ac:dyDescent="0.35">
      <c r="A121" t="s">
        <v>554</v>
      </c>
      <c r="B121" t="s">
        <v>507</v>
      </c>
      <c r="C121" t="str">
        <f>IFERROR(VLOOKUP($B121,'2. ITEM MASTER'!$A:$D,2,FALSE),"")</f>
        <v>CAMERA</v>
      </c>
      <c r="D121" t="str">
        <f>IFERROR(VLOOKUP($B121,'2. ITEM MASTER'!$A:$D,3,FALSE),"")</f>
        <v>Electronics</v>
      </c>
      <c r="E121">
        <v>8</v>
      </c>
      <c r="F121" t="s">
        <v>555</v>
      </c>
    </row>
    <row r="122" spans="1:6" x14ac:dyDescent="0.35">
      <c r="A122" t="s">
        <v>554</v>
      </c>
      <c r="B122" t="s">
        <v>509</v>
      </c>
      <c r="C122" t="str">
        <f>IFERROR(VLOOKUP($B122,'2. ITEM MASTER'!$A:$D,2,FALSE),"")</f>
        <v>DVR</v>
      </c>
      <c r="D122" t="str">
        <f>IFERROR(VLOOKUP($B122,'2. ITEM MASTER'!$A:$D,3,FALSE),"")</f>
        <v>Electronics</v>
      </c>
      <c r="E122">
        <v>3</v>
      </c>
      <c r="F122" t="s">
        <v>555</v>
      </c>
    </row>
    <row r="123" spans="1:6" x14ac:dyDescent="0.35">
      <c r="A123" t="s">
        <v>554</v>
      </c>
      <c r="B123" t="s">
        <v>511</v>
      </c>
      <c r="C123" t="str">
        <f>IFERROR(VLOOKUP($B123,'2. ITEM MASTER'!$A:$D,2,FALSE),"")</f>
        <v>HARD DISK</v>
      </c>
      <c r="D123" t="str">
        <f>IFERROR(VLOOKUP($B123,'2. ITEM MASTER'!$A:$D,3,FALSE),"")</f>
        <v>Electronics</v>
      </c>
      <c r="E123">
        <v>3</v>
      </c>
      <c r="F123" t="s">
        <v>555</v>
      </c>
    </row>
    <row r="124" spans="1:6" x14ac:dyDescent="0.35">
      <c r="A124" t="s">
        <v>554</v>
      </c>
      <c r="B124" t="s">
        <v>513</v>
      </c>
      <c r="C124" t="str">
        <f>IFERROR(VLOOKUP($B124,'2. ITEM MASTER'!$A:$D,2,FALSE),"")</f>
        <v>CCTV CABLE</v>
      </c>
      <c r="D124" t="str">
        <f>IFERROR(VLOOKUP($B124,'2. ITEM MASTER'!$A:$D,3,FALSE),"")</f>
        <v>Electronics</v>
      </c>
      <c r="E124">
        <v>90</v>
      </c>
      <c r="F124" t="s">
        <v>555</v>
      </c>
    </row>
    <row r="125" spans="1:6" x14ac:dyDescent="0.35">
      <c r="A125" t="s">
        <v>554</v>
      </c>
      <c r="B125" t="s">
        <v>515</v>
      </c>
      <c r="C125" t="str">
        <f>IFERROR(VLOOKUP($B125,'2. ITEM MASTER'!$A:$D,2,FALSE),"")</f>
        <v>FOUR WAY PIPE</v>
      </c>
      <c r="D125" t="str">
        <f>IFERROR(VLOOKUP($B125,'2. ITEM MASTER'!$A:$D,3,FALSE),"")</f>
        <v>Electronics</v>
      </c>
      <c r="E125">
        <v>18</v>
      </c>
      <c r="F125" t="s">
        <v>555</v>
      </c>
    </row>
    <row r="126" spans="1:6" x14ac:dyDescent="0.35">
      <c r="A126" t="s">
        <v>554</v>
      </c>
      <c r="B126" t="s">
        <v>517</v>
      </c>
      <c r="C126" t="str">
        <f>IFERROR(VLOOKUP($B126,'2. ITEM MASTER'!$A:$D,2,FALSE),"")</f>
        <v>ELBOW</v>
      </c>
      <c r="D126" t="str">
        <f>IFERROR(VLOOKUP($B126,'2. ITEM MASTER'!$A:$D,3,FALSE),"")</f>
        <v>Electronics</v>
      </c>
      <c r="E126">
        <v>90</v>
      </c>
      <c r="F126" t="s">
        <v>555</v>
      </c>
    </row>
    <row r="127" spans="1:6" x14ac:dyDescent="0.35">
      <c r="A127" t="s">
        <v>554</v>
      </c>
      <c r="B127" t="s">
        <v>519</v>
      </c>
      <c r="C127" t="str">
        <f>IFERROR(VLOOKUP($B127,'2. ITEM MASTER'!$A:$D,2,FALSE),"")</f>
        <v>TEE</v>
      </c>
      <c r="D127" t="str">
        <f>IFERROR(VLOOKUP($B127,'2. ITEM MASTER'!$A:$D,3,FALSE),"")</f>
        <v>Electronics</v>
      </c>
      <c r="E127">
        <v>37</v>
      </c>
      <c r="F127" t="s">
        <v>555</v>
      </c>
    </row>
    <row r="128" spans="1:6" x14ac:dyDescent="0.35">
      <c r="A128" t="s">
        <v>554</v>
      </c>
      <c r="B128" t="s">
        <v>521</v>
      </c>
      <c r="C128" t="str">
        <f>IFERROR(VLOOKUP($B128,'2. ITEM MASTER'!$A:$D,2,FALSE),"")</f>
        <v>RED WIRE 0.5</v>
      </c>
      <c r="D128" t="str">
        <f>IFERROR(VLOOKUP($B128,'2. ITEM MASTER'!$A:$D,3,FALSE),"")</f>
        <v>Electronics</v>
      </c>
      <c r="E128">
        <v>200</v>
      </c>
      <c r="F128" t="s">
        <v>555</v>
      </c>
    </row>
    <row r="129" spans="1:6" x14ac:dyDescent="0.35">
      <c r="A129" t="s">
        <v>554</v>
      </c>
      <c r="B129" t="s">
        <v>523</v>
      </c>
      <c r="C129" t="str">
        <f>IFERROR(VLOOKUP($B129,'2. ITEM MASTER'!$A:$D,2,FALSE),"")</f>
        <v>BLACK WIRE 0.6</v>
      </c>
      <c r="D129" t="str">
        <f>IFERROR(VLOOKUP($B129,'2. ITEM MASTER'!$A:$D,3,FALSE),"")</f>
        <v>Electronics</v>
      </c>
      <c r="E129">
        <v>200</v>
      </c>
      <c r="F129" t="s">
        <v>555</v>
      </c>
    </row>
    <row r="130" spans="1:6" x14ac:dyDescent="0.35">
      <c r="A130" t="s">
        <v>554</v>
      </c>
      <c r="B130" t="s">
        <v>525</v>
      </c>
      <c r="C130" t="str">
        <f>IFERROR(VLOOKUP($B130,'2. ITEM MASTER'!$A:$D,2,FALSE),"")</f>
        <v>WHITE WIRE 0.7</v>
      </c>
      <c r="D130" t="str">
        <f>IFERROR(VLOOKUP($B130,'2. ITEM MASTER'!$A:$D,3,FALSE),"")</f>
        <v>Electronics</v>
      </c>
      <c r="E130">
        <v>100</v>
      </c>
      <c r="F130" t="s">
        <v>555</v>
      </c>
    </row>
    <row r="131" spans="1:6" x14ac:dyDescent="0.35">
      <c r="A131" t="s">
        <v>554</v>
      </c>
      <c r="B131" t="s">
        <v>527</v>
      </c>
      <c r="C131" t="str">
        <f>IFERROR(VLOOKUP($B131,'2. ITEM MASTER'!$A:$D,2,FALSE),"")</f>
        <v>GRAY WIRE 0.8</v>
      </c>
      <c r="D131" t="str">
        <f>IFERROR(VLOOKUP($B131,'2. ITEM MASTER'!$A:$D,3,FALSE),"")</f>
        <v>Electronics</v>
      </c>
      <c r="E131">
        <v>300</v>
      </c>
      <c r="F131" t="s">
        <v>555</v>
      </c>
    </row>
    <row r="132" spans="1:6" x14ac:dyDescent="0.35">
      <c r="A132" t="s">
        <v>554</v>
      </c>
      <c r="B132" t="s">
        <v>529</v>
      </c>
      <c r="C132" t="str">
        <f>IFERROR(VLOOKUP($B132,'2. ITEM MASTER'!$A:$D,2,FALSE),"")</f>
        <v>BLUE WIRE 0.9</v>
      </c>
      <c r="D132" t="str">
        <f>IFERROR(VLOOKUP($B132,'2. ITEM MASTER'!$A:$D,3,FALSE),"")</f>
        <v>Electronics</v>
      </c>
      <c r="E132">
        <v>200</v>
      </c>
      <c r="F132" t="s">
        <v>555</v>
      </c>
    </row>
    <row r="133" spans="1:6" x14ac:dyDescent="0.35">
      <c r="A133" t="s">
        <v>554</v>
      </c>
      <c r="B133" t="s">
        <v>531</v>
      </c>
      <c r="C133" t="str">
        <f>IFERROR(VLOOKUP($B133,'2. ITEM MASTER'!$A:$D,2,FALSE),"")</f>
        <v>ORANGE WIRE 0.10</v>
      </c>
      <c r="D133" t="str">
        <f>IFERROR(VLOOKUP($B133,'2. ITEM MASTER'!$A:$D,3,FALSE),"")</f>
        <v>Electronics</v>
      </c>
      <c r="E133">
        <v>300</v>
      </c>
      <c r="F133" t="s">
        <v>555</v>
      </c>
    </row>
    <row r="134" spans="1:6" x14ac:dyDescent="0.35">
      <c r="A134" t="s">
        <v>554</v>
      </c>
      <c r="B134" t="s">
        <v>533</v>
      </c>
      <c r="C134" t="str">
        <f>IFERROR(VLOOKUP($B134,'2. ITEM MASTER'!$A:$D,2,FALSE),"")</f>
        <v>GREEN  WIRE 0.11</v>
      </c>
      <c r="D134" t="str">
        <f>IFERROR(VLOOKUP($B134,'2. ITEM MASTER'!$A:$D,3,FALSE),"")</f>
        <v>Electronics</v>
      </c>
      <c r="E134">
        <v>300</v>
      </c>
      <c r="F134" t="s">
        <v>555</v>
      </c>
    </row>
    <row r="135" spans="1:6" x14ac:dyDescent="0.35">
      <c r="A135" t="s">
        <v>554</v>
      </c>
      <c r="B135" t="s">
        <v>535</v>
      </c>
      <c r="C135" t="str">
        <f>IFERROR(VLOOKUP($B135,'2. ITEM MASTER'!$A:$D,2,FALSE),"")</f>
        <v>BROWN  WIRE 0.11</v>
      </c>
      <c r="D135" t="str">
        <f>IFERROR(VLOOKUP($B135,'2. ITEM MASTER'!$A:$D,3,FALSE),"")</f>
        <v>Electronics</v>
      </c>
      <c r="E135">
        <v>300</v>
      </c>
      <c r="F135" t="s">
        <v>555</v>
      </c>
    </row>
    <row r="136" spans="1:6" x14ac:dyDescent="0.35">
      <c r="A136" t="s">
        <v>554</v>
      </c>
      <c r="B136" t="s">
        <v>537</v>
      </c>
      <c r="C136" t="str">
        <f>IFERROR(VLOOKUP($B136,'2. ITEM MASTER'!$A:$D,2,FALSE),"")</f>
        <v>YELLOW  WIRE 0.11</v>
      </c>
      <c r="D136" t="str">
        <f>IFERROR(VLOOKUP($B136,'2. ITEM MASTER'!$A:$D,3,FALSE),"")</f>
        <v>Electronics</v>
      </c>
      <c r="E136">
        <v>200</v>
      </c>
      <c r="F136" t="s">
        <v>555</v>
      </c>
    </row>
    <row r="137" spans="1:6" x14ac:dyDescent="0.35">
      <c r="A137" t="s">
        <v>554</v>
      </c>
      <c r="B137" t="s">
        <v>539</v>
      </c>
      <c r="C137" t="str">
        <f>IFERROR(VLOOKUP($B137,'2. ITEM MASTER'!$A:$D,2,FALSE),"")</f>
        <v>2 CORE -BLACK</v>
      </c>
      <c r="D137" t="str">
        <f>IFERROR(VLOOKUP($B137,'2. ITEM MASTER'!$A:$D,3,FALSE),"")</f>
        <v>Electronics</v>
      </c>
      <c r="E137">
        <v>100</v>
      </c>
      <c r="F137" t="s">
        <v>555</v>
      </c>
    </row>
    <row r="138" spans="1:6" x14ac:dyDescent="0.35">
      <c r="A138" t="s">
        <v>554</v>
      </c>
      <c r="B138" t="s">
        <v>541</v>
      </c>
      <c r="C138" t="str">
        <f>IFERROR(VLOOKUP($B138,'2. ITEM MASTER'!$A:$D,2,FALSE),"")</f>
        <v>3 CORE -BLACK</v>
      </c>
      <c r="D138" t="str">
        <f>IFERROR(VLOOKUP($B138,'2. ITEM MASTER'!$A:$D,3,FALSE),"")</f>
        <v>Electronics</v>
      </c>
      <c r="E138">
        <v>200</v>
      </c>
      <c r="F138" t="s">
        <v>555</v>
      </c>
    </row>
    <row r="139" spans="1:6" x14ac:dyDescent="0.35">
      <c r="A139" t="s">
        <v>554</v>
      </c>
      <c r="B139" t="s">
        <v>543</v>
      </c>
      <c r="C139" t="str">
        <f>IFERROR(VLOOKUP($B139,'2. ITEM MASTER'!$A:$D,2,FALSE),"")</f>
        <v>3 CORE -GRAY</v>
      </c>
      <c r="D139" t="str">
        <f>IFERROR(VLOOKUP($B139,'2. ITEM MASTER'!$A:$D,3,FALSE),"")</f>
        <v>Electronics</v>
      </c>
      <c r="E139">
        <v>300</v>
      </c>
      <c r="F139" t="s">
        <v>555</v>
      </c>
    </row>
    <row r="140" spans="1:6" x14ac:dyDescent="0.35">
      <c r="A140" t="s">
        <v>554</v>
      </c>
      <c r="B140" t="s">
        <v>547</v>
      </c>
      <c r="C140" t="str">
        <f>IFERROR(VLOOKUP($B140,'2. ITEM MASTER'!$A:$D,2,FALSE),"")</f>
        <v>EMERGENCY BUTTON</v>
      </c>
      <c r="D140" t="str">
        <f>IFERROR(VLOOKUP($B140,'2. ITEM MASTER'!$A:$D,3,FALSE),"")</f>
        <v>Electronics</v>
      </c>
      <c r="E140">
        <v>38</v>
      </c>
      <c r="F140" t="s">
        <v>555</v>
      </c>
    </row>
    <row r="141" spans="1:6" x14ac:dyDescent="0.35">
      <c r="A141" t="s">
        <v>564</v>
      </c>
      <c r="B141" t="s">
        <v>562</v>
      </c>
      <c r="C141" t="str">
        <f>IFERROR(VLOOKUP($B141,'2. ITEM MASTER'!$A:$D,2,FALSE),"")</f>
        <v>Screw</v>
      </c>
      <c r="D141" t="str">
        <f>IFERROR(VLOOKUP($B141,'2. ITEM MASTER'!$A:$D,3,FALSE),"")</f>
        <v>Mechanical</v>
      </c>
      <c r="E141">
        <v>100</v>
      </c>
      <c r="F141" t="s">
        <v>10</v>
      </c>
    </row>
    <row r="142" spans="1:6" x14ac:dyDescent="0.35">
      <c r="C142" t="str">
        <f>IFERROR(VLOOKUP($B142,'2. ITEM MASTER'!$A:$D,2,FALSE),"")</f>
        <v/>
      </c>
      <c r="D142" t="str">
        <f>IFERROR(VLOOKUP($B142,'2. ITEM MASTER'!$A:$D,3,FALSE),"")</f>
        <v/>
      </c>
    </row>
    <row r="143" spans="1:6" x14ac:dyDescent="0.35">
      <c r="C143" t="str">
        <f>IFERROR(VLOOKUP($B143,'2. ITEM MASTER'!$A:$D,2,FALSE),"")</f>
        <v/>
      </c>
      <c r="D143" t="str">
        <f>IFERROR(VLOOKUP($B143,'2. ITEM MASTER'!$A:$D,3,FALSE),"")</f>
        <v/>
      </c>
    </row>
    <row r="144" spans="1:6" x14ac:dyDescent="0.35">
      <c r="C144" t="str">
        <f>IFERROR(VLOOKUP($B144,'2. ITEM MASTER'!$A:$D,2,FALSE),"")</f>
        <v/>
      </c>
      <c r="D144" t="str">
        <f>IFERROR(VLOOKUP($B144,'2. ITEM MASTER'!$A:$D,3,FALSE),"")</f>
        <v/>
      </c>
    </row>
    <row r="145" spans="3:4" x14ac:dyDescent="0.35">
      <c r="C145" t="str">
        <f>IFERROR(VLOOKUP($B145,'2. ITEM MASTER'!$A:$D,2,FALSE),"")</f>
        <v/>
      </c>
      <c r="D145" t="str">
        <f>IFERROR(VLOOKUP($B145,'2. ITEM MASTER'!$A:$D,3,FALSE),"")</f>
        <v/>
      </c>
    </row>
    <row r="146" spans="3:4" x14ac:dyDescent="0.35">
      <c r="C146" t="str">
        <f>IFERROR(VLOOKUP($B146,'2. ITEM MASTER'!$A:$D,2,FALSE),"")</f>
        <v/>
      </c>
      <c r="D146" t="str">
        <f>IFERROR(VLOOKUP($B146,'2. ITEM MASTER'!$A:$D,3,FALSE),"")</f>
        <v/>
      </c>
    </row>
    <row r="147" spans="3:4" x14ac:dyDescent="0.35">
      <c r="C147" t="str">
        <f>IFERROR(VLOOKUP($B147,'2. ITEM MASTER'!$A:$D,2,FALSE),"")</f>
        <v/>
      </c>
      <c r="D147" t="str">
        <f>IFERROR(VLOOKUP($B147,'2. ITEM MASTER'!$A:$D,3,FALSE),"")</f>
        <v/>
      </c>
    </row>
    <row r="148" spans="3:4" x14ac:dyDescent="0.35">
      <c r="C148" t="str">
        <f>IFERROR(VLOOKUP($B148,'2. ITEM MASTER'!$A:$D,2,FALSE),"")</f>
        <v/>
      </c>
      <c r="D148" t="str">
        <f>IFERROR(VLOOKUP($B148,'2. ITEM MASTER'!$A:$D,3,FALSE),"")</f>
        <v/>
      </c>
    </row>
    <row r="149" spans="3:4" x14ac:dyDescent="0.35">
      <c r="C149" t="str">
        <f>IFERROR(VLOOKUP($B149,'2. ITEM MASTER'!$A:$D,2,FALSE),"")</f>
        <v/>
      </c>
      <c r="D149" t="str">
        <f>IFERROR(VLOOKUP($B149,'2. ITEM MASTER'!$A:$D,3,FALSE),"")</f>
        <v/>
      </c>
    </row>
    <row r="150" spans="3:4" x14ac:dyDescent="0.35">
      <c r="C150" t="str">
        <f>IFERROR(VLOOKUP($B150,'2. ITEM MASTER'!$A:$D,2,FALSE),"")</f>
        <v/>
      </c>
      <c r="D150" t="str">
        <f>IFERROR(VLOOKUP($B150,'2. ITEM MASTER'!$A:$D,3,FALSE),"")</f>
        <v/>
      </c>
    </row>
    <row r="151" spans="3:4" x14ac:dyDescent="0.35">
      <c r="C151" t="str">
        <f>IFERROR(VLOOKUP($B151,'2. ITEM MASTER'!$A:$D,2,FALSE),"")</f>
        <v/>
      </c>
      <c r="D151" t="str">
        <f>IFERROR(VLOOKUP($B151,'2. ITEM MASTER'!$A:$D,3,FALSE),"")</f>
        <v/>
      </c>
    </row>
    <row r="152" spans="3:4" x14ac:dyDescent="0.35">
      <c r="C152" t="str">
        <f>IFERROR(VLOOKUP($B152,'2. ITEM MASTER'!$A:$D,2,FALSE),"")</f>
        <v/>
      </c>
      <c r="D152" t="str">
        <f>IFERROR(VLOOKUP($B152,'2. ITEM MASTER'!$A:$D,3,FALSE),"")</f>
        <v/>
      </c>
    </row>
    <row r="153" spans="3:4" x14ac:dyDescent="0.35">
      <c r="C153" t="str">
        <f>IFERROR(VLOOKUP($B153,'2. ITEM MASTER'!$A:$D,2,FALSE),"")</f>
        <v/>
      </c>
      <c r="D153" t="str">
        <f>IFERROR(VLOOKUP($B153,'2. ITEM MASTER'!$A:$D,3,FALSE),"")</f>
        <v/>
      </c>
    </row>
    <row r="154" spans="3:4" x14ac:dyDescent="0.35">
      <c r="C154" t="str">
        <f>IFERROR(VLOOKUP($B154,'2. ITEM MASTER'!$A:$D,2,FALSE),"")</f>
        <v/>
      </c>
      <c r="D154" t="str">
        <f>IFERROR(VLOOKUP($B154,'2. ITEM MASTER'!$A:$D,3,FALSE),"")</f>
        <v/>
      </c>
    </row>
    <row r="155" spans="3:4" x14ac:dyDescent="0.35">
      <c r="C155" t="str">
        <f>IFERROR(VLOOKUP($B155,'2. ITEM MASTER'!$A:$D,2,FALSE),"")</f>
        <v/>
      </c>
      <c r="D155" t="str">
        <f>IFERROR(VLOOKUP($B155,'2. ITEM MASTER'!$A:$D,3,FALSE),"")</f>
        <v/>
      </c>
    </row>
    <row r="156" spans="3:4" x14ac:dyDescent="0.35">
      <c r="C156" t="str">
        <f>IFERROR(VLOOKUP($B156,'2. ITEM MASTER'!$A:$D,2,FALSE),"")</f>
        <v/>
      </c>
      <c r="D156" t="str">
        <f>IFERROR(VLOOKUP($B156,'2. ITEM MASTER'!$A:$D,3,FALSE),"")</f>
        <v/>
      </c>
    </row>
    <row r="157" spans="3:4" x14ac:dyDescent="0.35">
      <c r="C157" t="str">
        <f>IFERROR(VLOOKUP($B157,'2. ITEM MASTER'!$A:$D,2,FALSE),"")</f>
        <v/>
      </c>
      <c r="D157" t="str">
        <f>IFERROR(VLOOKUP($B157,'2. ITEM MASTER'!$A:$D,3,FALSE),"")</f>
        <v/>
      </c>
    </row>
    <row r="158" spans="3:4" x14ac:dyDescent="0.35">
      <c r="C158" t="str">
        <f>IFERROR(VLOOKUP($B158,'2. ITEM MASTER'!$A:$D,2,FALSE),"")</f>
        <v/>
      </c>
      <c r="D158" t="str">
        <f>IFERROR(VLOOKUP($B158,'2. ITEM MASTER'!$A:$D,3,FALSE),"")</f>
        <v/>
      </c>
    </row>
    <row r="159" spans="3:4" x14ac:dyDescent="0.35">
      <c r="C159" t="str">
        <f>IFERROR(VLOOKUP($B159,'2. ITEM MASTER'!$A:$D,2,FALSE),"")</f>
        <v/>
      </c>
      <c r="D159" t="str">
        <f>IFERROR(VLOOKUP($B159,'2. ITEM MASTER'!$A:$D,3,FALSE),"")</f>
        <v/>
      </c>
    </row>
    <row r="160" spans="3:4" x14ac:dyDescent="0.35">
      <c r="C160" t="str">
        <f>IFERROR(VLOOKUP($B160,'2. ITEM MASTER'!$A:$D,2,FALSE),"")</f>
        <v/>
      </c>
      <c r="D160" t="str">
        <f>IFERROR(VLOOKUP($B160,'2. ITEM MASTER'!$A:$D,3,FALSE),"")</f>
        <v/>
      </c>
    </row>
    <row r="161" spans="3:4" x14ac:dyDescent="0.35">
      <c r="C161" t="str">
        <f>IFERROR(VLOOKUP($B161,'2. ITEM MASTER'!$A:$D,2,FALSE),"")</f>
        <v/>
      </c>
      <c r="D161" t="str">
        <f>IFERROR(VLOOKUP($B161,'2. ITEM MASTER'!$A:$D,3,FALSE),"")</f>
        <v/>
      </c>
    </row>
    <row r="162" spans="3:4" x14ac:dyDescent="0.35">
      <c r="C162" t="str">
        <f>IFERROR(VLOOKUP($B162,'2. ITEM MASTER'!$A:$D,2,FALSE),"")</f>
        <v/>
      </c>
      <c r="D162" t="str">
        <f>IFERROR(VLOOKUP($B162,'2. ITEM MASTER'!$A:$D,3,FALSE),"")</f>
        <v/>
      </c>
    </row>
    <row r="163" spans="3:4" x14ac:dyDescent="0.35">
      <c r="C163" t="str">
        <f>IFERROR(VLOOKUP($B163,'2. ITEM MASTER'!$A:$D,2,FALSE),"")</f>
        <v/>
      </c>
      <c r="D163" t="str">
        <f>IFERROR(VLOOKUP($B163,'2. ITEM MASTER'!$A:$D,3,FALSE),"")</f>
        <v/>
      </c>
    </row>
    <row r="164" spans="3:4" x14ac:dyDescent="0.35">
      <c r="C164" t="str">
        <f>IFERROR(VLOOKUP($B164,'2. ITEM MASTER'!$A:$D,2,FALSE),"")</f>
        <v/>
      </c>
      <c r="D164" t="str">
        <f>IFERROR(VLOOKUP($B164,'2. ITEM MASTER'!$A:$D,3,FALSE),"")</f>
        <v/>
      </c>
    </row>
    <row r="165" spans="3:4" x14ac:dyDescent="0.35">
      <c r="C165" t="str">
        <f>IFERROR(VLOOKUP($B165,'2. ITEM MASTER'!$A:$D,2,FALSE),"")</f>
        <v/>
      </c>
      <c r="D165" t="str">
        <f>IFERROR(VLOOKUP($B165,'2. ITEM MASTER'!$A:$D,3,FALSE),"")</f>
        <v/>
      </c>
    </row>
    <row r="166" spans="3:4" x14ac:dyDescent="0.35">
      <c r="C166" t="str">
        <f>IFERROR(VLOOKUP($B166,'2. ITEM MASTER'!$A:$D,2,FALSE),"")</f>
        <v/>
      </c>
      <c r="D166" t="str">
        <f>IFERROR(VLOOKUP($B166,'2. ITEM MASTER'!$A:$D,3,FALSE),"")</f>
        <v/>
      </c>
    </row>
    <row r="167" spans="3:4" x14ac:dyDescent="0.35">
      <c r="C167" t="str">
        <f>IFERROR(VLOOKUP($B167,'2. ITEM MASTER'!$A:$D,2,FALSE),"")</f>
        <v/>
      </c>
      <c r="D167" t="str">
        <f>IFERROR(VLOOKUP($B167,'2. ITEM MASTER'!$A:$D,3,FALSE),"")</f>
        <v/>
      </c>
    </row>
    <row r="168" spans="3:4" x14ac:dyDescent="0.35">
      <c r="C168" t="str">
        <f>IFERROR(VLOOKUP($B168,'2. ITEM MASTER'!$A:$D,2,FALSE),"")</f>
        <v/>
      </c>
      <c r="D168" t="str">
        <f>IFERROR(VLOOKUP($B168,'2. ITEM MASTER'!$A:$D,3,FALSE),"")</f>
        <v/>
      </c>
    </row>
    <row r="169" spans="3:4" x14ac:dyDescent="0.35">
      <c r="C169" t="str">
        <f>IFERROR(VLOOKUP($B169,'2. ITEM MASTER'!$A:$D,2,FALSE),"")</f>
        <v/>
      </c>
      <c r="D169" t="str">
        <f>IFERROR(VLOOKUP($B169,'2. ITEM MASTER'!$A:$D,3,FALSE),"")</f>
        <v/>
      </c>
    </row>
    <row r="170" spans="3:4" x14ac:dyDescent="0.35">
      <c r="C170" t="str">
        <f>IFERROR(VLOOKUP($B170,'2. ITEM MASTER'!$A:$D,2,FALSE),"")</f>
        <v/>
      </c>
      <c r="D170" t="str">
        <f>IFERROR(VLOOKUP($B170,'2. ITEM MASTER'!$A:$D,3,FALSE),"")</f>
        <v/>
      </c>
    </row>
    <row r="171" spans="3:4" x14ac:dyDescent="0.35">
      <c r="C171" t="str">
        <f>IFERROR(VLOOKUP($B171,'2. ITEM MASTER'!$A:$D,2,FALSE),"")</f>
        <v/>
      </c>
      <c r="D171" t="str">
        <f>IFERROR(VLOOKUP($B171,'2. ITEM MASTER'!$A:$D,3,FALSE),"")</f>
        <v/>
      </c>
    </row>
    <row r="172" spans="3:4" x14ac:dyDescent="0.35">
      <c r="C172" t="str">
        <f>IFERROR(VLOOKUP($B172,'2. ITEM MASTER'!$A:$D,2,FALSE),"")</f>
        <v/>
      </c>
      <c r="D172" t="str">
        <f>IFERROR(VLOOKUP($B172,'2. ITEM MASTER'!$A:$D,3,FALSE),"")</f>
        <v/>
      </c>
    </row>
    <row r="173" spans="3:4" x14ac:dyDescent="0.35">
      <c r="C173" t="str">
        <f>IFERROR(VLOOKUP($B173,'2. ITEM MASTER'!$A:$D,2,FALSE),"")</f>
        <v/>
      </c>
      <c r="D173" t="str">
        <f>IFERROR(VLOOKUP($B173,'2. ITEM MASTER'!$A:$D,3,FALSE),"")</f>
        <v/>
      </c>
    </row>
    <row r="174" spans="3:4" x14ac:dyDescent="0.35">
      <c r="C174" t="str">
        <f>IFERROR(VLOOKUP($B174,'2. ITEM MASTER'!$A:$D,2,FALSE),"")</f>
        <v/>
      </c>
      <c r="D174" t="str">
        <f>IFERROR(VLOOKUP($B174,'2. ITEM MASTER'!$A:$D,3,FALSE),"")</f>
        <v/>
      </c>
    </row>
    <row r="175" spans="3:4" x14ac:dyDescent="0.35">
      <c r="C175" t="str">
        <f>IFERROR(VLOOKUP($B175,'2. ITEM MASTER'!$A:$D,2,FALSE),"")</f>
        <v/>
      </c>
      <c r="D175" t="str">
        <f>IFERROR(VLOOKUP($B175,'2. ITEM MASTER'!$A:$D,3,FALSE),"")</f>
        <v/>
      </c>
    </row>
    <row r="176" spans="3:4" x14ac:dyDescent="0.35">
      <c r="C176" t="str">
        <f>IFERROR(VLOOKUP($B176,'2. ITEM MASTER'!$A:$D,2,FALSE),"")</f>
        <v/>
      </c>
      <c r="D176" t="str">
        <f>IFERROR(VLOOKUP($B176,'2. ITEM MASTER'!$A:$D,3,FALSE),"")</f>
        <v/>
      </c>
    </row>
    <row r="177" spans="3:4" x14ac:dyDescent="0.35">
      <c r="C177" t="str">
        <f>IFERROR(VLOOKUP($B177,'2. ITEM MASTER'!$A:$D,2,FALSE),"")</f>
        <v/>
      </c>
      <c r="D177" t="str">
        <f>IFERROR(VLOOKUP($B177,'2. ITEM MASTER'!$A:$D,3,FALSE),"")</f>
        <v/>
      </c>
    </row>
    <row r="178" spans="3:4" x14ac:dyDescent="0.35">
      <c r="C178" t="str">
        <f>IFERROR(VLOOKUP($B178,'2. ITEM MASTER'!$A:$D,2,FALSE),"")</f>
        <v/>
      </c>
      <c r="D178" t="str">
        <f>IFERROR(VLOOKUP($B178,'2. ITEM MASTER'!$A:$D,3,FALSE),"")</f>
        <v/>
      </c>
    </row>
    <row r="179" spans="3:4" x14ac:dyDescent="0.35">
      <c r="C179" t="str">
        <f>IFERROR(VLOOKUP($B179,'2. ITEM MASTER'!$A:$D,2,FALSE),"")</f>
        <v/>
      </c>
      <c r="D179" t="str">
        <f>IFERROR(VLOOKUP($B179,'2. ITEM MASTER'!$A:$D,3,FALSE),"")</f>
        <v/>
      </c>
    </row>
    <row r="180" spans="3:4" x14ac:dyDescent="0.35">
      <c r="C180" t="str">
        <f>IFERROR(VLOOKUP($B180,'2. ITEM MASTER'!$A:$D,2,FALSE),"")</f>
        <v/>
      </c>
      <c r="D180" t="str">
        <f>IFERROR(VLOOKUP($B180,'2. ITEM MASTER'!$A:$D,3,FALSE),"")</f>
        <v/>
      </c>
    </row>
    <row r="181" spans="3:4" x14ac:dyDescent="0.35">
      <c r="C181" t="str">
        <f>IFERROR(VLOOKUP($B181,'2. ITEM MASTER'!$A:$D,2,FALSE),"")</f>
        <v/>
      </c>
      <c r="D181" t="str">
        <f>IFERROR(VLOOKUP($B181,'2. ITEM MASTER'!$A:$D,3,FALSE),"")</f>
        <v/>
      </c>
    </row>
    <row r="182" spans="3:4" x14ac:dyDescent="0.35">
      <c r="C182" t="str">
        <f>IFERROR(VLOOKUP($B182,'2. ITEM MASTER'!$A:$D,2,FALSE),"")</f>
        <v/>
      </c>
      <c r="D182" t="str">
        <f>IFERROR(VLOOKUP($B182,'2. ITEM MASTER'!$A:$D,3,FALSE),"")</f>
        <v/>
      </c>
    </row>
    <row r="183" spans="3:4" x14ac:dyDescent="0.35">
      <c r="C183" t="str">
        <f>IFERROR(VLOOKUP($B183,'2. ITEM MASTER'!$A:$D,2,FALSE),"")</f>
        <v/>
      </c>
      <c r="D183" t="str">
        <f>IFERROR(VLOOKUP($B183,'2. ITEM MASTER'!$A:$D,3,FALSE),"")</f>
        <v/>
      </c>
    </row>
    <row r="184" spans="3:4" x14ac:dyDescent="0.35">
      <c r="C184" t="str">
        <f>IFERROR(VLOOKUP($B184,'2. ITEM MASTER'!$A:$D,2,FALSE),"")</f>
        <v/>
      </c>
      <c r="D184" t="str">
        <f>IFERROR(VLOOKUP($B184,'2. ITEM MASTER'!$A:$D,3,FALSE),"")</f>
        <v/>
      </c>
    </row>
    <row r="185" spans="3:4" x14ac:dyDescent="0.35">
      <c r="C185" t="str">
        <f>IFERROR(VLOOKUP($B185,'2. ITEM MASTER'!$A:$D,2,FALSE),"")</f>
        <v/>
      </c>
      <c r="D185" t="str">
        <f>IFERROR(VLOOKUP($B185,'2. ITEM MASTER'!$A:$D,3,FALSE),"")</f>
        <v/>
      </c>
    </row>
    <row r="186" spans="3:4" x14ac:dyDescent="0.35">
      <c r="C186" t="str">
        <f>IFERROR(VLOOKUP($B186,'2. ITEM MASTER'!$A:$D,2,FALSE),"")</f>
        <v/>
      </c>
      <c r="D186" t="str">
        <f>IFERROR(VLOOKUP($B186,'2. ITEM MASTER'!$A:$D,3,FALSE),"")</f>
        <v/>
      </c>
    </row>
    <row r="187" spans="3:4" x14ac:dyDescent="0.35">
      <c r="C187" t="str">
        <f>IFERROR(VLOOKUP($B187,'2. ITEM MASTER'!$A:$D,2,FALSE),"")</f>
        <v/>
      </c>
      <c r="D187" t="str">
        <f>IFERROR(VLOOKUP($B187,'2. ITEM MASTER'!$A:$D,3,FALSE),"")</f>
        <v/>
      </c>
    </row>
    <row r="188" spans="3:4" x14ac:dyDescent="0.35">
      <c r="C188" t="str">
        <f>IFERROR(VLOOKUP($B188,'2. ITEM MASTER'!$A:$D,2,FALSE),"")</f>
        <v/>
      </c>
      <c r="D188" t="str">
        <f>IFERROR(VLOOKUP($B188,'2. ITEM MASTER'!$A:$D,3,FALSE),"")</f>
        <v/>
      </c>
    </row>
    <row r="189" spans="3:4" x14ac:dyDescent="0.35">
      <c r="C189" t="str">
        <f>IFERROR(VLOOKUP($B189,'2. ITEM MASTER'!$A:$D,2,FALSE),"")</f>
        <v/>
      </c>
      <c r="D189" t="str">
        <f>IFERROR(VLOOKUP($B189,'2. ITEM MASTER'!$A:$D,3,FALSE),"")</f>
        <v/>
      </c>
    </row>
    <row r="190" spans="3:4" x14ac:dyDescent="0.35">
      <c r="C190" t="str">
        <f>IFERROR(VLOOKUP($B190,'2. ITEM MASTER'!$A:$D,2,FALSE),"")</f>
        <v/>
      </c>
      <c r="D190" t="str">
        <f>IFERROR(VLOOKUP($B190,'2. ITEM MASTER'!$A:$D,3,FALSE),"")</f>
        <v/>
      </c>
    </row>
    <row r="191" spans="3:4" x14ac:dyDescent="0.35">
      <c r="C191" t="str">
        <f>IFERROR(VLOOKUP($B191,'2. ITEM MASTER'!$A:$D,2,FALSE),"")</f>
        <v/>
      </c>
      <c r="D191" t="str">
        <f>IFERROR(VLOOKUP($B191,'2. ITEM MASTER'!$A:$D,3,FALSE),"")</f>
        <v/>
      </c>
    </row>
    <row r="192" spans="3:4" x14ac:dyDescent="0.35">
      <c r="C192" t="str">
        <f>IFERROR(VLOOKUP($B192,'2. ITEM MASTER'!$A:$D,2,FALSE),"")</f>
        <v/>
      </c>
      <c r="D192" t="str">
        <f>IFERROR(VLOOKUP($B192,'2. ITEM MASTER'!$A:$D,3,FALSE),"")</f>
        <v/>
      </c>
    </row>
    <row r="193" spans="3:4" x14ac:dyDescent="0.35">
      <c r="C193" t="str">
        <f>IFERROR(VLOOKUP($B193,'2. ITEM MASTER'!$A:$D,2,FALSE),"")</f>
        <v/>
      </c>
      <c r="D193" t="str">
        <f>IFERROR(VLOOKUP($B193,'2. ITEM MASTER'!$A:$D,3,FALSE),"")</f>
        <v/>
      </c>
    </row>
    <row r="194" spans="3:4" x14ac:dyDescent="0.35">
      <c r="C194" t="str">
        <f>IFERROR(VLOOKUP($B194,'2. ITEM MASTER'!$A:$D,2,FALSE),"")</f>
        <v/>
      </c>
      <c r="D194" t="str">
        <f>IFERROR(VLOOKUP($B194,'2. ITEM MASTER'!$A:$D,3,FALSE),"")</f>
        <v/>
      </c>
    </row>
    <row r="195" spans="3:4" x14ac:dyDescent="0.35">
      <c r="C195" t="str">
        <f>IFERROR(VLOOKUP($B195,'2. ITEM MASTER'!$A:$D,2,FALSE),"")</f>
        <v/>
      </c>
      <c r="D195" t="str">
        <f>IFERROR(VLOOKUP($B195,'2. ITEM MASTER'!$A:$D,3,FALSE),"")</f>
        <v/>
      </c>
    </row>
    <row r="196" spans="3:4" x14ac:dyDescent="0.35">
      <c r="C196" t="str">
        <f>IFERROR(VLOOKUP($B196,'2. ITEM MASTER'!$A:$D,2,FALSE),"")</f>
        <v/>
      </c>
      <c r="D196" t="str">
        <f>IFERROR(VLOOKUP($B196,'2. ITEM MASTER'!$A:$D,3,FALSE),"")</f>
        <v/>
      </c>
    </row>
    <row r="197" spans="3:4" x14ac:dyDescent="0.35">
      <c r="C197" t="str">
        <f>IFERROR(VLOOKUP($B197,'2. ITEM MASTER'!$A:$D,2,FALSE),"")</f>
        <v/>
      </c>
      <c r="D197" t="str">
        <f>IFERROR(VLOOKUP($B197,'2. ITEM MASTER'!$A:$D,3,FALSE),"")</f>
        <v/>
      </c>
    </row>
    <row r="198" spans="3:4" x14ac:dyDescent="0.35">
      <c r="C198" t="str">
        <f>IFERROR(VLOOKUP($B198,'2. ITEM MASTER'!$A:$D,2,FALSE),"")</f>
        <v/>
      </c>
      <c r="D198" t="str">
        <f>IFERROR(VLOOKUP($B198,'2. ITEM MASTER'!$A:$D,3,FALSE),"")</f>
        <v/>
      </c>
    </row>
    <row r="199" spans="3:4" x14ac:dyDescent="0.35">
      <c r="C199" t="str">
        <f>IFERROR(VLOOKUP($B199,'2. ITEM MASTER'!$A:$D,2,FALSE),"")</f>
        <v/>
      </c>
      <c r="D199" t="str">
        <f>IFERROR(VLOOKUP($B199,'2. ITEM MASTER'!$A:$D,3,FALSE),"")</f>
        <v/>
      </c>
    </row>
    <row r="200" spans="3:4" x14ac:dyDescent="0.35">
      <c r="C200" t="str">
        <f>IFERROR(VLOOKUP($B200,'2. ITEM MASTER'!$A:$D,2,FALSE),"")</f>
        <v/>
      </c>
      <c r="D200" t="str">
        <f>IFERROR(VLOOKUP($B200,'2. ITEM MASTER'!$A:$D,3,FALSE),"")</f>
        <v/>
      </c>
    </row>
    <row r="201" spans="3:4" x14ac:dyDescent="0.35">
      <c r="C201" t="str">
        <f>IFERROR(VLOOKUP($B201,'2. ITEM MASTER'!$A:$D,2,FALSE),"")</f>
        <v/>
      </c>
      <c r="D201" t="str">
        <f>IFERROR(VLOOKUP($B201,'2. ITEM MASTER'!$A:$D,3,FALSE),"")</f>
        <v/>
      </c>
    </row>
    <row r="202" spans="3:4" x14ac:dyDescent="0.35">
      <c r="C202" t="str">
        <f>IFERROR(VLOOKUP($B202,'2. ITEM MASTER'!$A:$D,2,FALSE),"")</f>
        <v/>
      </c>
      <c r="D202" t="str">
        <f>IFERROR(VLOOKUP($B202,'2. ITEM MASTER'!$A:$D,3,FALSE),"")</f>
        <v/>
      </c>
    </row>
    <row r="203" spans="3:4" x14ac:dyDescent="0.35">
      <c r="C203" t="str">
        <f>IFERROR(VLOOKUP($B203,'2. ITEM MASTER'!$A:$D,2,FALSE),"")</f>
        <v/>
      </c>
      <c r="D203" t="str">
        <f>IFERROR(VLOOKUP($B203,'2. ITEM MASTER'!$A:$D,3,FALSE),"")</f>
        <v/>
      </c>
    </row>
    <row r="204" spans="3:4" x14ac:dyDescent="0.35">
      <c r="C204" t="str">
        <f>IFERROR(VLOOKUP($B204,'2. ITEM MASTER'!$A:$D,2,FALSE),"")</f>
        <v/>
      </c>
      <c r="D204" t="str">
        <f>IFERROR(VLOOKUP($B204,'2. ITEM MASTER'!$A:$D,3,FALSE),"")</f>
        <v/>
      </c>
    </row>
    <row r="205" spans="3:4" x14ac:dyDescent="0.35">
      <c r="C205" t="str">
        <f>IFERROR(VLOOKUP($B205,'2. ITEM MASTER'!$A:$D,2,FALSE),"")</f>
        <v/>
      </c>
      <c r="D205" t="str">
        <f>IFERROR(VLOOKUP($B205,'2. ITEM MASTER'!$A:$D,3,FALSE),"")</f>
        <v/>
      </c>
    </row>
    <row r="206" spans="3:4" x14ac:dyDescent="0.35">
      <c r="C206" t="str">
        <f>IFERROR(VLOOKUP($B206,'2. ITEM MASTER'!$A:$D,2,FALSE),"")</f>
        <v/>
      </c>
      <c r="D206" t="str">
        <f>IFERROR(VLOOKUP($B206,'2. ITEM MASTER'!$A:$D,3,FALSE),"")</f>
        <v/>
      </c>
    </row>
    <row r="207" spans="3:4" x14ac:dyDescent="0.35">
      <c r="C207" t="str">
        <f>IFERROR(VLOOKUP($B207,'2. ITEM MASTER'!$A:$D,2,FALSE),"")</f>
        <v/>
      </c>
      <c r="D207" t="str">
        <f>IFERROR(VLOOKUP($B207,'2. ITEM MASTER'!$A:$D,3,FALSE),"")</f>
        <v/>
      </c>
    </row>
    <row r="208" spans="3:4" x14ac:dyDescent="0.35">
      <c r="C208" t="str">
        <f>IFERROR(VLOOKUP($B208,'2. ITEM MASTER'!$A:$D,2,FALSE),"")</f>
        <v/>
      </c>
      <c r="D208" t="str">
        <f>IFERROR(VLOOKUP($B208,'2. ITEM MASTER'!$A:$D,3,FALSE),"")</f>
        <v/>
      </c>
    </row>
    <row r="209" spans="3:4" x14ac:dyDescent="0.35">
      <c r="C209" t="str">
        <f>IFERROR(VLOOKUP($B209,'2. ITEM MASTER'!$A:$D,2,FALSE),"")</f>
        <v/>
      </c>
      <c r="D209" t="str">
        <f>IFERROR(VLOOKUP($B209,'2. ITEM MASTER'!$A:$D,3,FALSE),"")</f>
        <v/>
      </c>
    </row>
    <row r="210" spans="3:4" x14ac:dyDescent="0.35">
      <c r="C210" t="str">
        <f>IFERROR(VLOOKUP($B210,'2. ITEM MASTER'!$A:$D,2,FALSE),"")</f>
        <v/>
      </c>
      <c r="D210" t="str">
        <f>IFERROR(VLOOKUP($B210,'2. ITEM MASTER'!$A:$D,3,FALSE),"")</f>
        <v/>
      </c>
    </row>
    <row r="211" spans="3:4" x14ac:dyDescent="0.35">
      <c r="C211" t="str">
        <f>IFERROR(VLOOKUP($B211,'2. ITEM MASTER'!$A:$D,2,FALSE),"")</f>
        <v/>
      </c>
      <c r="D211" t="str">
        <f>IFERROR(VLOOKUP($B211,'2. ITEM MASTER'!$A:$D,3,FALSE),"")</f>
        <v/>
      </c>
    </row>
    <row r="212" spans="3:4" x14ac:dyDescent="0.35">
      <c r="C212" t="str">
        <f>IFERROR(VLOOKUP($B212,'2. ITEM MASTER'!$A:$D,2,FALSE),"")</f>
        <v/>
      </c>
      <c r="D212" t="str">
        <f>IFERROR(VLOOKUP($B212,'2. ITEM MASTER'!$A:$D,3,FALSE),"")</f>
        <v/>
      </c>
    </row>
    <row r="213" spans="3:4" x14ac:dyDescent="0.35">
      <c r="C213" t="str">
        <f>IFERROR(VLOOKUP($B213,'2. ITEM MASTER'!$A:$D,2,FALSE),"")</f>
        <v/>
      </c>
      <c r="D213" t="str">
        <f>IFERROR(VLOOKUP($B213,'2. ITEM MASTER'!$A:$D,3,FALSE),"")</f>
        <v/>
      </c>
    </row>
    <row r="214" spans="3:4" x14ac:dyDescent="0.35">
      <c r="C214" t="str">
        <f>IFERROR(VLOOKUP($B214,'2. ITEM MASTER'!$A:$D,2,FALSE),"")</f>
        <v/>
      </c>
      <c r="D214" t="str">
        <f>IFERROR(VLOOKUP($B214,'2. ITEM MASTER'!$A:$D,3,FALSE),"")</f>
        <v/>
      </c>
    </row>
    <row r="215" spans="3:4" x14ac:dyDescent="0.35">
      <c r="C215" t="str">
        <f>IFERROR(VLOOKUP($B215,'2. ITEM MASTER'!$A:$D,2,FALSE),"")</f>
        <v/>
      </c>
      <c r="D215" t="str">
        <f>IFERROR(VLOOKUP($B215,'2. ITEM MASTER'!$A:$D,3,FALSE),"")</f>
        <v/>
      </c>
    </row>
    <row r="216" spans="3:4" x14ac:dyDescent="0.35">
      <c r="C216" t="str">
        <f>IFERROR(VLOOKUP($B216,'2. ITEM MASTER'!$A:$D,2,FALSE),"")</f>
        <v/>
      </c>
      <c r="D216" t="str">
        <f>IFERROR(VLOOKUP($B216,'2. ITEM MASTER'!$A:$D,3,FALSE),"")</f>
        <v/>
      </c>
    </row>
    <row r="217" spans="3:4" x14ac:dyDescent="0.35">
      <c r="C217" t="str">
        <f>IFERROR(VLOOKUP($B217,'2. ITEM MASTER'!$A:$D,2,FALSE),"")</f>
        <v/>
      </c>
      <c r="D217" t="str">
        <f>IFERROR(VLOOKUP($B217,'2. ITEM MASTER'!$A:$D,3,FALSE),"")</f>
        <v/>
      </c>
    </row>
    <row r="218" spans="3:4" x14ac:dyDescent="0.35">
      <c r="C218" t="str">
        <f>IFERROR(VLOOKUP($B218,'2. ITEM MASTER'!$A:$D,2,FALSE),"")</f>
        <v/>
      </c>
      <c r="D218" t="str">
        <f>IFERROR(VLOOKUP($B218,'2. ITEM MASTER'!$A:$D,3,FALSE),"")</f>
        <v/>
      </c>
    </row>
    <row r="219" spans="3:4" x14ac:dyDescent="0.35">
      <c r="C219" t="str">
        <f>IFERROR(VLOOKUP($B219,'2. ITEM MASTER'!$A:$D,2,FALSE),"")</f>
        <v/>
      </c>
      <c r="D219" t="str">
        <f>IFERROR(VLOOKUP($B219,'2. ITEM MASTER'!$A:$D,3,FALSE),"")</f>
        <v/>
      </c>
    </row>
    <row r="220" spans="3:4" x14ac:dyDescent="0.35">
      <c r="C220" t="str">
        <f>IFERROR(VLOOKUP($B220,'2. ITEM MASTER'!$A:$D,2,FALSE),"")</f>
        <v/>
      </c>
      <c r="D220" t="str">
        <f>IFERROR(VLOOKUP($B220,'2. ITEM MASTER'!$A:$D,3,FALSE),"")</f>
        <v/>
      </c>
    </row>
    <row r="221" spans="3:4" x14ac:dyDescent="0.35">
      <c r="C221" t="str">
        <f>IFERROR(VLOOKUP($B221,'2. ITEM MASTER'!$A:$D,2,FALSE),"")</f>
        <v/>
      </c>
      <c r="D221" t="str">
        <f>IFERROR(VLOOKUP($B221,'2. ITEM MASTER'!$A:$D,3,FALSE),"")</f>
        <v/>
      </c>
    </row>
    <row r="222" spans="3:4" x14ac:dyDescent="0.35">
      <c r="C222" t="str">
        <f>IFERROR(VLOOKUP($B222,'2. ITEM MASTER'!$A:$D,2,FALSE),"")</f>
        <v/>
      </c>
      <c r="D222" t="str">
        <f>IFERROR(VLOOKUP($B222,'2. ITEM MASTER'!$A:$D,3,FALSE),"")</f>
        <v/>
      </c>
    </row>
    <row r="223" spans="3:4" x14ac:dyDescent="0.35">
      <c r="C223" t="str">
        <f>IFERROR(VLOOKUP($B223,'2. ITEM MASTER'!$A:$D,2,FALSE),"")</f>
        <v/>
      </c>
      <c r="D223" t="str">
        <f>IFERROR(VLOOKUP($B223,'2. ITEM MASTER'!$A:$D,3,FALSE),"")</f>
        <v/>
      </c>
    </row>
    <row r="224" spans="3:4" x14ac:dyDescent="0.35">
      <c r="C224" t="str">
        <f>IFERROR(VLOOKUP($B224,'2. ITEM MASTER'!$A:$D,2,FALSE),"")</f>
        <v/>
      </c>
      <c r="D224" t="str">
        <f>IFERROR(VLOOKUP($B224,'2. ITEM MASTER'!$A:$D,3,FALSE),"")</f>
        <v/>
      </c>
    </row>
    <row r="225" spans="3:4" x14ac:dyDescent="0.35">
      <c r="C225" t="str">
        <f>IFERROR(VLOOKUP($B225,'2. ITEM MASTER'!$A:$D,2,FALSE),"")</f>
        <v/>
      </c>
      <c r="D225" t="str">
        <f>IFERROR(VLOOKUP($B225,'2. ITEM MASTER'!$A:$D,3,FALSE),"")</f>
        <v/>
      </c>
    </row>
    <row r="226" spans="3:4" x14ac:dyDescent="0.35">
      <c r="C226" t="str">
        <f>IFERROR(VLOOKUP($B226,'2. ITEM MASTER'!$A:$D,2,FALSE),"")</f>
        <v/>
      </c>
      <c r="D226" t="str">
        <f>IFERROR(VLOOKUP($B226,'2. ITEM MASTER'!$A:$D,3,FALSE),"")</f>
        <v/>
      </c>
    </row>
    <row r="227" spans="3:4" x14ac:dyDescent="0.35">
      <c r="C227" t="str">
        <f>IFERROR(VLOOKUP($B227,'2. ITEM MASTER'!$A:$D,2,FALSE),"")</f>
        <v/>
      </c>
      <c r="D227" t="str">
        <f>IFERROR(VLOOKUP($B227,'2. ITEM MASTER'!$A:$D,3,FALSE),"")</f>
        <v/>
      </c>
    </row>
    <row r="228" spans="3:4" x14ac:dyDescent="0.35">
      <c r="C228" t="str">
        <f>IFERROR(VLOOKUP($B228,'2. ITEM MASTER'!$A:$D,2,FALSE),"")</f>
        <v/>
      </c>
      <c r="D228" t="str">
        <f>IFERROR(VLOOKUP($B228,'2. ITEM MASTER'!$A:$D,3,FALSE),"")</f>
        <v/>
      </c>
    </row>
    <row r="229" spans="3:4" x14ac:dyDescent="0.35">
      <c r="C229" t="str">
        <f>IFERROR(VLOOKUP($B229,'2. ITEM MASTER'!$A:$D,2,FALSE),"")</f>
        <v/>
      </c>
      <c r="D229" t="str">
        <f>IFERROR(VLOOKUP($B229,'2. ITEM MASTER'!$A:$D,3,FALSE),"")</f>
        <v/>
      </c>
    </row>
    <row r="230" spans="3:4" x14ac:dyDescent="0.35">
      <c r="C230" t="str">
        <f>IFERROR(VLOOKUP($B230,'2. ITEM MASTER'!$A:$D,2,FALSE),"")</f>
        <v/>
      </c>
      <c r="D230" t="str">
        <f>IFERROR(VLOOKUP($B230,'2. ITEM MASTER'!$A:$D,3,FALSE),"")</f>
        <v/>
      </c>
    </row>
    <row r="231" spans="3:4" x14ac:dyDescent="0.35">
      <c r="C231" t="str">
        <f>IFERROR(VLOOKUP($B231,'2. ITEM MASTER'!$A:$D,2,FALSE),"")</f>
        <v/>
      </c>
      <c r="D231" t="str">
        <f>IFERROR(VLOOKUP($B231,'2. ITEM MASTER'!$A:$D,3,FALSE),"")</f>
        <v/>
      </c>
    </row>
    <row r="232" spans="3:4" x14ac:dyDescent="0.35">
      <c r="C232" t="str">
        <f>IFERROR(VLOOKUP($B232,'2. ITEM MASTER'!$A:$D,2,FALSE),"")</f>
        <v/>
      </c>
      <c r="D232" t="str">
        <f>IFERROR(VLOOKUP($B232,'2. ITEM MASTER'!$A:$D,3,FALSE),"")</f>
        <v/>
      </c>
    </row>
    <row r="233" spans="3:4" x14ac:dyDescent="0.35">
      <c r="C233" t="str">
        <f>IFERROR(VLOOKUP($B233,'2. ITEM MASTER'!$A:$D,2,FALSE),"")</f>
        <v/>
      </c>
      <c r="D233" t="str">
        <f>IFERROR(VLOOKUP($B233,'2. ITEM MASTER'!$A:$D,3,FALSE),"")</f>
        <v/>
      </c>
    </row>
    <row r="234" spans="3:4" x14ac:dyDescent="0.35">
      <c r="C234" t="str">
        <f>IFERROR(VLOOKUP($B234,'2. ITEM MASTER'!$A:$D,2,FALSE),"")</f>
        <v/>
      </c>
      <c r="D234" t="str">
        <f>IFERROR(VLOOKUP($B234,'2. ITEM MASTER'!$A:$D,3,FALSE),"")</f>
        <v/>
      </c>
    </row>
    <row r="235" spans="3:4" x14ac:dyDescent="0.35">
      <c r="C235" t="str">
        <f>IFERROR(VLOOKUP($B235,'2. ITEM MASTER'!$A:$D,2,FALSE),"")</f>
        <v/>
      </c>
      <c r="D235" t="str">
        <f>IFERROR(VLOOKUP($B235,'2. ITEM MASTER'!$A:$D,3,FALSE),"")</f>
        <v/>
      </c>
    </row>
    <row r="236" spans="3:4" x14ac:dyDescent="0.35">
      <c r="C236" t="str">
        <f>IFERROR(VLOOKUP($B236,'2. ITEM MASTER'!$A:$D,2,FALSE),"")</f>
        <v/>
      </c>
      <c r="D236" t="str">
        <f>IFERROR(VLOOKUP($B236,'2. ITEM MASTER'!$A:$D,3,FALSE),"")</f>
        <v/>
      </c>
    </row>
    <row r="237" spans="3:4" x14ac:dyDescent="0.35">
      <c r="C237" t="str">
        <f>IFERROR(VLOOKUP($B237,'2. ITEM MASTER'!$A:$D,2,FALSE),"")</f>
        <v/>
      </c>
      <c r="D237" t="str">
        <f>IFERROR(VLOOKUP($B237,'2. ITEM MASTER'!$A:$D,3,FALSE),"")</f>
        <v/>
      </c>
    </row>
    <row r="238" spans="3:4" x14ac:dyDescent="0.35">
      <c r="C238" t="str">
        <f>IFERROR(VLOOKUP($B238,'2. ITEM MASTER'!$A:$D,2,FALSE),"")</f>
        <v/>
      </c>
      <c r="D238" t="str">
        <f>IFERROR(VLOOKUP($B238,'2. ITEM MASTER'!$A:$D,3,FALSE),"")</f>
        <v/>
      </c>
    </row>
    <row r="239" spans="3:4" x14ac:dyDescent="0.35">
      <c r="C239" t="str">
        <f>IFERROR(VLOOKUP($B239,'2. ITEM MASTER'!$A:$D,2,FALSE),"")</f>
        <v/>
      </c>
      <c r="D239" t="str">
        <f>IFERROR(VLOOKUP($B239,'2. ITEM MASTER'!$A:$D,3,FALSE),"")</f>
        <v/>
      </c>
    </row>
    <row r="240" spans="3:4" x14ac:dyDescent="0.35">
      <c r="C240" t="str">
        <f>IFERROR(VLOOKUP($B240,'2. ITEM MASTER'!$A:$D,2,FALSE),"")</f>
        <v/>
      </c>
      <c r="D240" t="str">
        <f>IFERROR(VLOOKUP($B240,'2. ITEM MASTER'!$A:$D,3,FALSE),"")</f>
        <v/>
      </c>
    </row>
    <row r="241" spans="3:4" x14ac:dyDescent="0.35">
      <c r="C241" t="str">
        <f>IFERROR(VLOOKUP($B241,'2. ITEM MASTER'!$A:$D,2,FALSE),"")</f>
        <v/>
      </c>
      <c r="D241" t="str">
        <f>IFERROR(VLOOKUP($B241,'2. ITEM MASTER'!$A:$D,3,FALSE),"")</f>
        <v/>
      </c>
    </row>
    <row r="242" spans="3:4" x14ac:dyDescent="0.35">
      <c r="C242" t="str">
        <f>IFERROR(VLOOKUP($B242,'2. ITEM MASTER'!$A:$D,2,FALSE),"")</f>
        <v/>
      </c>
      <c r="D242" t="str">
        <f>IFERROR(VLOOKUP($B242,'2. ITEM MASTER'!$A:$D,3,FALSE),"")</f>
        <v/>
      </c>
    </row>
    <row r="243" spans="3:4" x14ac:dyDescent="0.35">
      <c r="C243" t="str">
        <f>IFERROR(VLOOKUP($B243,'2. ITEM MASTER'!$A:$D,2,FALSE),"")</f>
        <v/>
      </c>
      <c r="D243" t="str">
        <f>IFERROR(VLOOKUP($B243,'2. ITEM MASTER'!$A:$D,3,FALSE),"")</f>
        <v/>
      </c>
    </row>
    <row r="244" spans="3:4" x14ac:dyDescent="0.35">
      <c r="C244" t="str">
        <f>IFERROR(VLOOKUP($B244,'2. ITEM MASTER'!$A:$D,2,FALSE),"")</f>
        <v/>
      </c>
      <c r="D244" t="str">
        <f>IFERROR(VLOOKUP($B244,'2. ITEM MASTER'!$A:$D,3,FALSE),"")</f>
        <v/>
      </c>
    </row>
    <row r="245" spans="3:4" x14ac:dyDescent="0.35">
      <c r="C245" t="str">
        <f>IFERROR(VLOOKUP($B245,'2. ITEM MASTER'!$A:$D,2,FALSE),"")</f>
        <v/>
      </c>
      <c r="D245" t="str">
        <f>IFERROR(VLOOKUP($B245,'2. ITEM MASTER'!$A:$D,3,FALSE),"")</f>
        <v/>
      </c>
    </row>
    <row r="246" spans="3:4" x14ac:dyDescent="0.35">
      <c r="C246" t="str">
        <f>IFERROR(VLOOKUP($B246,'2. ITEM MASTER'!$A:$D,2,FALSE),"")</f>
        <v/>
      </c>
      <c r="D246" t="str">
        <f>IFERROR(VLOOKUP($B246,'2. ITEM MASTER'!$A:$D,3,FALSE),"")</f>
        <v/>
      </c>
    </row>
    <row r="247" spans="3:4" x14ac:dyDescent="0.35">
      <c r="C247" t="str">
        <f>IFERROR(VLOOKUP($B247,'2. ITEM MASTER'!$A:$D,2,FALSE),"")</f>
        <v/>
      </c>
      <c r="D247" t="str">
        <f>IFERROR(VLOOKUP($B247,'2. ITEM MASTER'!$A:$D,3,FALSE),"")</f>
        <v/>
      </c>
    </row>
    <row r="248" spans="3:4" x14ac:dyDescent="0.35">
      <c r="C248" t="str">
        <f>IFERROR(VLOOKUP($B248,'2. ITEM MASTER'!$A:$D,2,FALSE),"")</f>
        <v/>
      </c>
      <c r="D248" t="str">
        <f>IFERROR(VLOOKUP($B248,'2. ITEM MASTER'!$A:$D,3,FALSE),"")</f>
        <v/>
      </c>
    </row>
    <row r="249" spans="3:4" x14ac:dyDescent="0.35">
      <c r="C249" t="str">
        <f>IFERROR(VLOOKUP($B249,'2. ITEM MASTER'!$A:$D,2,FALSE),"")</f>
        <v/>
      </c>
      <c r="D249" t="str">
        <f>IFERROR(VLOOKUP($B249,'2. ITEM MASTER'!$A:$D,3,FALSE),"")</f>
        <v/>
      </c>
    </row>
    <row r="250" spans="3:4" x14ac:dyDescent="0.35">
      <c r="C250" t="str">
        <f>IFERROR(VLOOKUP($B250,'2. ITEM MASTER'!$A:$D,2,FALSE),"")</f>
        <v/>
      </c>
      <c r="D250" t="str">
        <f>IFERROR(VLOOKUP($B250,'2. ITEM MASTER'!$A:$D,3,FALSE),"")</f>
        <v/>
      </c>
    </row>
    <row r="251" spans="3:4" x14ac:dyDescent="0.35">
      <c r="C251" t="str">
        <f>IFERROR(VLOOKUP($B251,'2. ITEM MASTER'!$A:$D,2,FALSE),"")</f>
        <v/>
      </c>
      <c r="D251" t="str">
        <f>IFERROR(VLOOKUP($B251,'2. ITEM MASTER'!$A:$D,3,FALSE),"")</f>
        <v/>
      </c>
    </row>
    <row r="252" spans="3:4" x14ac:dyDescent="0.35">
      <c r="C252" t="str">
        <f>IFERROR(VLOOKUP($B252,'2. ITEM MASTER'!$A:$D,2,FALSE),"")</f>
        <v/>
      </c>
      <c r="D252" t="str">
        <f>IFERROR(VLOOKUP($B252,'2. ITEM MASTER'!$A:$D,3,FALSE),"")</f>
        <v/>
      </c>
    </row>
    <row r="253" spans="3:4" x14ac:dyDescent="0.35">
      <c r="C253" t="str">
        <f>IFERROR(VLOOKUP($B253,'2. ITEM MASTER'!$A:$D,2,FALSE),"")</f>
        <v/>
      </c>
      <c r="D253" t="str">
        <f>IFERROR(VLOOKUP($B253,'2. ITEM MASTER'!$A:$D,3,FALSE),"")</f>
        <v/>
      </c>
    </row>
    <row r="254" spans="3:4" x14ac:dyDescent="0.35">
      <c r="C254" t="str">
        <f>IFERROR(VLOOKUP($B254,'2. ITEM MASTER'!$A:$D,2,FALSE),"")</f>
        <v/>
      </c>
      <c r="D254" t="str">
        <f>IFERROR(VLOOKUP($B254,'2. ITEM MASTER'!$A:$D,3,FALSE),"")</f>
        <v/>
      </c>
    </row>
    <row r="255" spans="3:4" x14ac:dyDescent="0.35">
      <c r="C255" t="str">
        <f>IFERROR(VLOOKUP($B255,'2. ITEM MASTER'!$A:$D,2,FALSE),"")</f>
        <v/>
      </c>
      <c r="D255" t="str">
        <f>IFERROR(VLOOKUP($B255,'2. ITEM MASTER'!$A:$D,3,FALSE),"")</f>
        <v/>
      </c>
    </row>
    <row r="256" spans="3:4" x14ac:dyDescent="0.35">
      <c r="C256" t="str">
        <f>IFERROR(VLOOKUP($B256,'2. ITEM MASTER'!$A:$D,2,FALSE),"")</f>
        <v/>
      </c>
      <c r="D256" t="str">
        <f>IFERROR(VLOOKUP($B256,'2. ITEM MASTER'!$A:$D,3,FALSE),"")</f>
        <v/>
      </c>
    </row>
    <row r="257" spans="3:4" x14ac:dyDescent="0.35">
      <c r="C257" t="str">
        <f>IFERROR(VLOOKUP($B257,'2. ITEM MASTER'!$A:$D,2,FALSE),"")</f>
        <v/>
      </c>
      <c r="D257" t="str">
        <f>IFERROR(VLOOKUP($B257,'2. ITEM MASTER'!$A:$D,3,FALSE),"")</f>
        <v/>
      </c>
    </row>
    <row r="258" spans="3:4" x14ac:dyDescent="0.35">
      <c r="C258" t="str">
        <f>IFERROR(VLOOKUP($B258,'2. ITEM MASTER'!$A:$D,2,FALSE),"")</f>
        <v/>
      </c>
      <c r="D258" t="str">
        <f>IFERROR(VLOOKUP($B258,'2. ITEM MASTER'!$A:$D,3,FALSE),"")</f>
        <v/>
      </c>
    </row>
    <row r="259" spans="3:4" x14ac:dyDescent="0.35">
      <c r="C259" t="str">
        <f>IFERROR(VLOOKUP($B259,'2. ITEM MASTER'!$A:$D,2,FALSE),"")</f>
        <v/>
      </c>
      <c r="D259" t="str">
        <f>IFERROR(VLOOKUP($B259,'2. ITEM MASTER'!$A:$D,3,FALSE),"")</f>
        <v/>
      </c>
    </row>
    <row r="260" spans="3:4" x14ac:dyDescent="0.35">
      <c r="C260" t="str">
        <f>IFERROR(VLOOKUP($B260,'2. ITEM MASTER'!$A:$D,2,FALSE),"")</f>
        <v/>
      </c>
      <c r="D260" t="str">
        <f>IFERROR(VLOOKUP($B260,'2. ITEM MASTER'!$A:$D,3,FALSE),"")</f>
        <v/>
      </c>
    </row>
    <row r="261" spans="3:4" x14ac:dyDescent="0.35">
      <c r="C261" t="str">
        <f>IFERROR(VLOOKUP($B261,'2. ITEM MASTER'!$A:$D,2,FALSE),"")</f>
        <v/>
      </c>
      <c r="D261" t="str">
        <f>IFERROR(VLOOKUP($B261,'2. ITEM MASTER'!$A:$D,3,FALSE),"")</f>
        <v/>
      </c>
    </row>
    <row r="262" spans="3:4" x14ac:dyDescent="0.35">
      <c r="C262" t="str">
        <f>IFERROR(VLOOKUP($B262,'2. ITEM MASTER'!$A:$D,2,FALSE),"")</f>
        <v/>
      </c>
      <c r="D262" t="str">
        <f>IFERROR(VLOOKUP($B262,'2. ITEM MASTER'!$A:$D,3,FALSE),"")</f>
        <v/>
      </c>
    </row>
    <row r="263" spans="3:4" x14ac:dyDescent="0.35">
      <c r="C263" t="str">
        <f>IFERROR(VLOOKUP($B263,'2. ITEM MASTER'!$A:$D,2,FALSE),"")</f>
        <v/>
      </c>
      <c r="D263" t="str">
        <f>IFERROR(VLOOKUP($B263,'2. ITEM MASTER'!$A:$D,3,FALSE),"")</f>
        <v/>
      </c>
    </row>
    <row r="264" spans="3:4" x14ac:dyDescent="0.35">
      <c r="C264" t="str">
        <f>IFERROR(VLOOKUP($B264,'2. ITEM MASTER'!$A:$D,2,FALSE),"")</f>
        <v/>
      </c>
      <c r="D264" t="str">
        <f>IFERROR(VLOOKUP($B264,'2. ITEM MASTER'!$A:$D,3,FALSE),"")</f>
        <v/>
      </c>
    </row>
    <row r="265" spans="3:4" x14ac:dyDescent="0.35">
      <c r="C265" t="str">
        <f>IFERROR(VLOOKUP($B265,'2. ITEM MASTER'!$A:$D,2,FALSE),"")</f>
        <v/>
      </c>
      <c r="D265" t="str">
        <f>IFERROR(VLOOKUP($B265,'2. ITEM MASTER'!$A:$D,3,FALSE),"")</f>
        <v/>
      </c>
    </row>
    <row r="266" spans="3:4" x14ac:dyDescent="0.35">
      <c r="C266" t="str">
        <f>IFERROR(VLOOKUP($B266,'2. ITEM MASTER'!$A:$D,2,FALSE),"")</f>
        <v/>
      </c>
      <c r="D266" t="str">
        <f>IFERROR(VLOOKUP($B266,'2. ITEM MASTER'!$A:$D,3,FALSE),"")</f>
        <v/>
      </c>
    </row>
    <row r="267" spans="3:4" x14ac:dyDescent="0.35">
      <c r="C267" t="str">
        <f>IFERROR(VLOOKUP($B267,'2. ITEM MASTER'!$A:$D,2,FALSE),"")</f>
        <v/>
      </c>
      <c r="D267" t="str">
        <f>IFERROR(VLOOKUP($B267,'2. ITEM MASTER'!$A:$D,3,FALSE),"")</f>
        <v/>
      </c>
    </row>
    <row r="268" spans="3:4" x14ac:dyDescent="0.35">
      <c r="C268" t="str">
        <f>IFERROR(VLOOKUP($B268,'2. ITEM MASTER'!$A:$D,2,FALSE),"")</f>
        <v/>
      </c>
      <c r="D268" t="str">
        <f>IFERROR(VLOOKUP($B268,'2. ITEM MASTER'!$A:$D,3,FALSE),"")</f>
        <v/>
      </c>
    </row>
    <row r="269" spans="3:4" x14ac:dyDescent="0.35">
      <c r="C269" t="str">
        <f>IFERROR(VLOOKUP($B269,'2. ITEM MASTER'!$A:$D,2,FALSE),"")</f>
        <v/>
      </c>
      <c r="D269" t="str">
        <f>IFERROR(VLOOKUP($B269,'2. ITEM MASTER'!$A:$D,3,FALSE),"")</f>
        <v/>
      </c>
    </row>
    <row r="270" spans="3:4" x14ac:dyDescent="0.35">
      <c r="C270" t="str">
        <f>IFERROR(VLOOKUP($B270,'2. ITEM MASTER'!$A:$D,2,FALSE),"")</f>
        <v/>
      </c>
      <c r="D270" t="str">
        <f>IFERROR(VLOOKUP($B270,'2. ITEM MASTER'!$A:$D,3,FALSE),"")</f>
        <v/>
      </c>
    </row>
    <row r="271" spans="3:4" x14ac:dyDescent="0.35">
      <c r="C271" t="str">
        <f>IFERROR(VLOOKUP($B271,'2. ITEM MASTER'!$A:$D,2,FALSE),"")</f>
        <v/>
      </c>
      <c r="D271" t="str">
        <f>IFERROR(VLOOKUP($B271,'2. ITEM MASTER'!$A:$D,3,FALSE),"")</f>
        <v/>
      </c>
    </row>
    <row r="272" spans="3:4" x14ac:dyDescent="0.35">
      <c r="C272" t="str">
        <f>IFERROR(VLOOKUP($B272,'2. ITEM MASTER'!$A:$D,2,FALSE),"")</f>
        <v/>
      </c>
      <c r="D272" t="str">
        <f>IFERROR(VLOOKUP($B272,'2. ITEM MASTER'!$A:$D,3,FALSE),"")</f>
        <v/>
      </c>
    </row>
    <row r="273" spans="3:4" x14ac:dyDescent="0.35">
      <c r="C273" t="str">
        <f>IFERROR(VLOOKUP($B273,'2. ITEM MASTER'!$A:$D,2,FALSE),"")</f>
        <v/>
      </c>
      <c r="D273" t="str">
        <f>IFERROR(VLOOKUP($B273,'2. ITEM MASTER'!$A:$D,3,FALSE),"")</f>
        <v/>
      </c>
    </row>
    <row r="274" spans="3:4" x14ac:dyDescent="0.35">
      <c r="C274" t="str">
        <f>IFERROR(VLOOKUP($B274,'2. ITEM MASTER'!$A:$D,2,FALSE),"")</f>
        <v/>
      </c>
      <c r="D274" t="str">
        <f>IFERROR(VLOOKUP($B274,'2. ITEM MASTER'!$A:$D,3,FALSE),"")</f>
        <v/>
      </c>
    </row>
    <row r="275" spans="3:4" x14ac:dyDescent="0.35">
      <c r="C275" t="str">
        <f>IFERROR(VLOOKUP($B275,'2. ITEM MASTER'!$A:$D,2,FALSE),"")</f>
        <v/>
      </c>
      <c r="D275" t="str">
        <f>IFERROR(VLOOKUP($B275,'2. ITEM MASTER'!$A:$D,3,FALSE),"")</f>
        <v/>
      </c>
    </row>
    <row r="276" spans="3:4" x14ac:dyDescent="0.35">
      <c r="C276" t="str">
        <f>IFERROR(VLOOKUP($B276,'2. ITEM MASTER'!$A:$D,2,FALSE),"")</f>
        <v/>
      </c>
      <c r="D276" t="str">
        <f>IFERROR(VLOOKUP($B276,'2. ITEM MASTER'!$A:$D,3,FALSE),"")</f>
        <v/>
      </c>
    </row>
    <row r="277" spans="3:4" x14ac:dyDescent="0.35">
      <c r="C277" t="str">
        <f>IFERROR(VLOOKUP($B277,'2. ITEM MASTER'!$A:$D,2,FALSE),"")</f>
        <v/>
      </c>
      <c r="D277" t="str">
        <f>IFERROR(VLOOKUP($B277,'2. ITEM MASTER'!$A:$D,3,FALSE),"")</f>
        <v/>
      </c>
    </row>
    <row r="278" spans="3:4" x14ac:dyDescent="0.35">
      <c r="C278" t="str">
        <f>IFERROR(VLOOKUP($B278,'2. ITEM MASTER'!$A:$D,2,FALSE),"")</f>
        <v/>
      </c>
      <c r="D278" t="str">
        <f>IFERROR(VLOOKUP($B278,'2. ITEM MASTER'!$A:$D,3,FALSE),"")</f>
        <v/>
      </c>
    </row>
    <row r="279" spans="3:4" x14ac:dyDescent="0.35">
      <c r="C279" t="str">
        <f>IFERROR(VLOOKUP($B279,'2. ITEM MASTER'!$A:$D,2,FALSE),"")</f>
        <v/>
      </c>
      <c r="D279" t="str">
        <f>IFERROR(VLOOKUP($B279,'2. ITEM MASTER'!$A:$D,3,FALSE),"")</f>
        <v/>
      </c>
    </row>
    <row r="280" spans="3:4" x14ac:dyDescent="0.35">
      <c r="C280" t="str">
        <f>IFERROR(VLOOKUP($B280,'2. ITEM MASTER'!$A:$D,2,FALSE),"")</f>
        <v/>
      </c>
      <c r="D280" t="str">
        <f>IFERROR(VLOOKUP($B280,'2. ITEM MASTER'!$A:$D,3,FALSE),"")</f>
        <v/>
      </c>
    </row>
    <row r="281" spans="3:4" x14ac:dyDescent="0.35">
      <c r="C281" t="str">
        <f>IFERROR(VLOOKUP($B281,'2. ITEM MASTER'!$A:$D,2,FALSE),"")</f>
        <v/>
      </c>
      <c r="D281" t="str">
        <f>IFERROR(VLOOKUP($B281,'2. ITEM MASTER'!$A:$D,3,FALSE),"")</f>
        <v/>
      </c>
    </row>
    <row r="282" spans="3:4" x14ac:dyDescent="0.35">
      <c r="C282" t="str">
        <f>IFERROR(VLOOKUP($B282,'2. ITEM MASTER'!$A:$D,2,FALSE),"")</f>
        <v/>
      </c>
      <c r="D282" t="str">
        <f>IFERROR(VLOOKUP($B282,'2. ITEM MASTER'!$A:$D,3,FALSE),"")</f>
        <v/>
      </c>
    </row>
    <row r="283" spans="3:4" x14ac:dyDescent="0.35">
      <c r="C283" t="str">
        <f>IFERROR(VLOOKUP($B283,'2. ITEM MASTER'!$A:$D,2,FALSE),"")</f>
        <v/>
      </c>
      <c r="D283" t="str">
        <f>IFERROR(VLOOKUP($B283,'2. ITEM MASTER'!$A:$D,3,FALSE),"")</f>
        <v/>
      </c>
    </row>
    <row r="284" spans="3:4" x14ac:dyDescent="0.35">
      <c r="C284" t="str">
        <f>IFERROR(VLOOKUP($B284,'2. ITEM MASTER'!$A:$D,2,FALSE),"")</f>
        <v/>
      </c>
      <c r="D284" t="str">
        <f>IFERROR(VLOOKUP($B284,'2. ITEM MASTER'!$A:$D,3,FALSE),"")</f>
        <v/>
      </c>
    </row>
    <row r="285" spans="3:4" x14ac:dyDescent="0.35">
      <c r="C285" t="str">
        <f>IFERROR(VLOOKUP($B285,'2. ITEM MASTER'!$A:$D,2,FALSE),"")</f>
        <v/>
      </c>
      <c r="D285" t="str">
        <f>IFERROR(VLOOKUP($B285,'2. ITEM MASTER'!$A:$D,3,FALSE),"")</f>
        <v/>
      </c>
    </row>
    <row r="286" spans="3:4" x14ac:dyDescent="0.35">
      <c r="C286" t="str">
        <f>IFERROR(VLOOKUP($B286,'2. ITEM MASTER'!$A:$D,2,FALSE),"")</f>
        <v/>
      </c>
      <c r="D286" t="str">
        <f>IFERROR(VLOOKUP($B286,'2. ITEM MASTER'!$A:$D,3,FALSE),"")</f>
        <v/>
      </c>
    </row>
    <row r="287" spans="3:4" x14ac:dyDescent="0.35">
      <c r="C287" t="str">
        <f>IFERROR(VLOOKUP($B287,'2. ITEM MASTER'!$A:$D,2,FALSE),"")</f>
        <v/>
      </c>
      <c r="D287" t="str">
        <f>IFERROR(VLOOKUP($B287,'2. ITEM MASTER'!$A:$D,3,FALSE),"")</f>
        <v/>
      </c>
    </row>
    <row r="288" spans="3:4" x14ac:dyDescent="0.35">
      <c r="C288" t="str">
        <f>IFERROR(VLOOKUP($B288,'2. ITEM MASTER'!$A:$D,2,FALSE),"")</f>
        <v/>
      </c>
      <c r="D288" t="str">
        <f>IFERROR(VLOOKUP($B288,'2. ITEM MASTER'!$A:$D,3,FALSE),"")</f>
        <v/>
      </c>
    </row>
    <row r="289" spans="3:4" x14ac:dyDescent="0.35">
      <c r="C289" t="str">
        <f>IFERROR(VLOOKUP($B289,'2. ITEM MASTER'!$A:$D,2,FALSE),"")</f>
        <v/>
      </c>
      <c r="D289" t="str">
        <f>IFERROR(VLOOKUP($B289,'2. ITEM MASTER'!$A:$D,3,FALSE),"")</f>
        <v/>
      </c>
    </row>
    <row r="290" spans="3:4" x14ac:dyDescent="0.35">
      <c r="C290" t="str">
        <f>IFERROR(VLOOKUP($B290,'2. ITEM MASTER'!$A:$D,2,FALSE),"")</f>
        <v/>
      </c>
      <c r="D290" t="str">
        <f>IFERROR(VLOOKUP($B290,'2. ITEM MASTER'!$A:$D,3,FALSE),"")</f>
        <v/>
      </c>
    </row>
  </sheetData>
  <phoneticPr fontId="4" type="noConversion"/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'2. ITEM MASTER'!$A$2:$A$1000</xm:f>
          </x14:formula1>
          <xm:sqref>B2:B290</xm:sqref>
        </x14:dataValidation>
        <x14:dataValidation type="list" allowBlank="1" xr:uid="{00000000-0002-0000-0200-000001000000}">
          <x14:formula1>
            <xm:f>'1. DASHBOARD'!$D$10:$D$50</xm:f>
          </x14:formula1>
          <xm:sqref>F2:F290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1"/>
  <sheetViews>
    <sheetView workbookViewId="0"/>
  </sheetViews>
  <sheetFormatPr defaultRowHeight="14.5" x14ac:dyDescent="0.35"/>
  <cols>
    <col min="1" max="1" width="6.54296875" customWidth="1"/>
    <col min="2" max="2" width="12.08984375" customWidth="1"/>
    <col min="3" max="4" width="50" customWidth="1"/>
    <col min="5" max="5" width="17.54296875" customWidth="1"/>
    <col min="6" max="6" width="14.36328125" customWidth="1"/>
  </cols>
  <sheetData>
    <row r="1" spans="1:6" x14ac:dyDescent="0.35">
      <c r="A1" t="s">
        <v>549</v>
      </c>
      <c r="B1" t="s">
        <v>17</v>
      </c>
      <c r="C1" t="s">
        <v>550</v>
      </c>
      <c r="D1" t="s">
        <v>551</v>
      </c>
      <c r="E1" t="s">
        <v>556</v>
      </c>
      <c r="F1" t="s">
        <v>557</v>
      </c>
    </row>
    <row r="2" spans="1:6" x14ac:dyDescent="0.35">
      <c r="C2" t="str">
        <f>IFERROR(VLOOKUP($B2,'2. ITEM MASTER'!$A:$D,2,FALSE),"")</f>
        <v/>
      </c>
      <c r="D2" t="str">
        <f>IFERROR(VLOOKUP($B2,'2. ITEM MASTER'!$A:$D,3,FALSE),"")</f>
        <v/>
      </c>
    </row>
    <row r="3" spans="1:6" x14ac:dyDescent="0.35">
      <c r="C3" t="str">
        <f>IFERROR(VLOOKUP($B3,'2. ITEM MASTER'!$A:$D,2,FALSE),"")</f>
        <v/>
      </c>
      <c r="D3" t="str">
        <f>IFERROR(VLOOKUP($B3,'2. ITEM MASTER'!$A:$D,3,FALSE),"")</f>
        <v/>
      </c>
    </row>
    <row r="4" spans="1:6" x14ac:dyDescent="0.35">
      <c r="C4" t="str">
        <f>IFERROR(VLOOKUP($B4,'2. ITEM MASTER'!$A:$D,2,FALSE),"")</f>
        <v/>
      </c>
      <c r="D4" t="str">
        <f>IFERROR(VLOOKUP($B4,'2. ITEM MASTER'!$A:$D,3,FALSE),"")</f>
        <v/>
      </c>
    </row>
    <row r="5" spans="1:6" x14ac:dyDescent="0.35">
      <c r="C5" t="str">
        <f>IFERROR(VLOOKUP($B5,'2. ITEM MASTER'!$A:$D,2,FALSE),"")</f>
        <v/>
      </c>
      <c r="D5" t="str">
        <f>IFERROR(VLOOKUP($B5,'2. ITEM MASTER'!$A:$D,3,FALSE),"")</f>
        <v/>
      </c>
    </row>
    <row r="6" spans="1:6" x14ac:dyDescent="0.35">
      <c r="C6" t="str">
        <f>IFERROR(VLOOKUP($B6,'2. ITEM MASTER'!$A:$D,2,FALSE),"")</f>
        <v/>
      </c>
      <c r="D6" t="str">
        <f>IFERROR(VLOOKUP($B6,'2. ITEM MASTER'!$A:$D,3,FALSE),"")</f>
        <v/>
      </c>
    </row>
    <row r="7" spans="1:6" x14ac:dyDescent="0.35">
      <c r="C7" t="str">
        <f>IFERROR(VLOOKUP($B7,'2. ITEM MASTER'!$A:$D,2,FALSE),"")</f>
        <v/>
      </c>
      <c r="D7" t="str">
        <f>IFERROR(VLOOKUP($B7,'2. ITEM MASTER'!$A:$D,3,FALSE),"")</f>
        <v/>
      </c>
    </row>
    <row r="8" spans="1:6" x14ac:dyDescent="0.35">
      <c r="C8" t="str">
        <f>IFERROR(VLOOKUP($B8,'2. ITEM MASTER'!$A:$D,2,FALSE),"")</f>
        <v/>
      </c>
      <c r="D8" t="str">
        <f>IFERROR(VLOOKUP($B8,'2. ITEM MASTER'!$A:$D,3,FALSE),"")</f>
        <v/>
      </c>
    </row>
    <row r="9" spans="1:6" x14ac:dyDescent="0.35">
      <c r="C9" t="str">
        <f>IFERROR(VLOOKUP($B9,'2. ITEM MASTER'!$A:$D,2,FALSE),"")</f>
        <v/>
      </c>
      <c r="D9" t="str">
        <f>IFERROR(VLOOKUP($B9,'2. ITEM MASTER'!$A:$D,3,FALSE),"")</f>
        <v/>
      </c>
    </row>
    <row r="10" spans="1:6" x14ac:dyDescent="0.35">
      <c r="C10" t="str">
        <f>IFERROR(VLOOKUP($B10,'2. ITEM MASTER'!$A:$D,2,FALSE),"")</f>
        <v/>
      </c>
      <c r="D10" t="str">
        <f>IFERROR(VLOOKUP($B10,'2. ITEM MASTER'!$A:$D,3,FALSE),"")</f>
        <v/>
      </c>
    </row>
    <row r="11" spans="1:6" x14ac:dyDescent="0.35">
      <c r="C11" t="str">
        <f>IFERROR(VLOOKUP($B11,'2. ITEM MASTER'!$A:$D,2,FALSE),"")</f>
        <v/>
      </c>
      <c r="D11" t="str">
        <f>IFERROR(VLOOKUP($B11,'2. ITEM MASTER'!$A:$D,3,FALSE),"")</f>
        <v/>
      </c>
    </row>
    <row r="12" spans="1:6" x14ac:dyDescent="0.35">
      <c r="C12" t="str">
        <f>IFERROR(VLOOKUP($B12,'2. ITEM MASTER'!$A:$D,2,FALSE),"")</f>
        <v/>
      </c>
      <c r="D12" t="str">
        <f>IFERROR(VLOOKUP($B12,'2. ITEM MASTER'!$A:$D,3,FALSE),"")</f>
        <v/>
      </c>
    </row>
    <row r="13" spans="1:6" x14ac:dyDescent="0.35">
      <c r="C13" t="str">
        <f>IFERROR(VLOOKUP($B13,'2. ITEM MASTER'!$A:$D,2,FALSE),"")</f>
        <v/>
      </c>
      <c r="D13" t="str">
        <f>IFERROR(VLOOKUP($B13,'2. ITEM MASTER'!$A:$D,3,FALSE),"")</f>
        <v/>
      </c>
    </row>
    <row r="14" spans="1:6" x14ac:dyDescent="0.35">
      <c r="C14" t="str">
        <f>IFERROR(VLOOKUP($B14,'2. ITEM MASTER'!$A:$D,2,FALSE),"")</f>
        <v/>
      </c>
      <c r="D14" t="str">
        <f>IFERROR(VLOOKUP($B14,'2. ITEM MASTER'!$A:$D,3,FALSE),"")</f>
        <v/>
      </c>
    </row>
    <row r="15" spans="1:6" x14ac:dyDescent="0.35">
      <c r="C15" t="str">
        <f>IFERROR(VLOOKUP($B15,'2. ITEM MASTER'!$A:$D,2,FALSE),"")</f>
        <v/>
      </c>
      <c r="D15" t="str">
        <f>IFERROR(VLOOKUP($B15,'2. ITEM MASTER'!$A:$D,3,FALSE),"")</f>
        <v/>
      </c>
    </row>
    <row r="16" spans="1:6" x14ac:dyDescent="0.35">
      <c r="C16" t="str">
        <f>IFERROR(VLOOKUP($B16,'2. ITEM MASTER'!$A:$D,2,FALSE),"")</f>
        <v/>
      </c>
      <c r="D16" t="str">
        <f>IFERROR(VLOOKUP($B16,'2. ITEM MASTER'!$A:$D,3,FALSE),"")</f>
        <v/>
      </c>
    </row>
    <row r="17" spans="3:4" x14ac:dyDescent="0.35">
      <c r="C17" t="str">
        <f>IFERROR(VLOOKUP($B17,'2. ITEM MASTER'!$A:$D,2,FALSE),"")</f>
        <v/>
      </c>
      <c r="D17" t="str">
        <f>IFERROR(VLOOKUP($B17,'2. ITEM MASTER'!$A:$D,3,FALSE),"")</f>
        <v/>
      </c>
    </row>
    <row r="18" spans="3:4" x14ac:dyDescent="0.35">
      <c r="C18" t="str">
        <f>IFERROR(VLOOKUP($B18,'2. ITEM MASTER'!$A:$D,2,FALSE),"")</f>
        <v/>
      </c>
      <c r="D18" t="str">
        <f>IFERROR(VLOOKUP($B18,'2. ITEM MASTER'!$A:$D,3,FALSE),"")</f>
        <v/>
      </c>
    </row>
    <row r="19" spans="3:4" x14ac:dyDescent="0.35">
      <c r="C19" t="str">
        <f>IFERROR(VLOOKUP($B19,'2. ITEM MASTER'!$A:$D,2,FALSE),"")</f>
        <v/>
      </c>
      <c r="D19" t="str">
        <f>IFERROR(VLOOKUP($B19,'2. ITEM MASTER'!$A:$D,3,FALSE),"")</f>
        <v/>
      </c>
    </row>
    <row r="20" spans="3:4" x14ac:dyDescent="0.35">
      <c r="C20" t="str">
        <f>IFERROR(VLOOKUP($B20,'2. ITEM MASTER'!$A:$D,2,FALSE),"")</f>
        <v/>
      </c>
      <c r="D20" t="str">
        <f>IFERROR(VLOOKUP($B20,'2. ITEM MASTER'!$A:$D,3,FALSE),"")</f>
        <v/>
      </c>
    </row>
    <row r="21" spans="3:4" x14ac:dyDescent="0.35">
      <c r="C21" t="str">
        <f>IFERROR(VLOOKUP($B21,'2. ITEM MASTER'!$A:$D,2,FALSE),"")</f>
        <v/>
      </c>
      <c r="D21" t="str">
        <f>IFERROR(VLOOKUP($B21,'2. ITEM MASTER'!$A:$D,3,FALSE),"")</f>
        <v/>
      </c>
    </row>
    <row r="22" spans="3:4" x14ac:dyDescent="0.35">
      <c r="C22" t="str">
        <f>IFERROR(VLOOKUP($B22,'2. ITEM MASTER'!$A:$D,2,FALSE),"")</f>
        <v/>
      </c>
      <c r="D22" t="str">
        <f>IFERROR(VLOOKUP($B22,'2. ITEM MASTER'!$A:$D,3,FALSE),"")</f>
        <v/>
      </c>
    </row>
    <row r="23" spans="3:4" x14ac:dyDescent="0.35">
      <c r="C23" t="str">
        <f>IFERROR(VLOOKUP($B23,'2. ITEM MASTER'!$A:$D,2,FALSE),"")</f>
        <v/>
      </c>
      <c r="D23" t="str">
        <f>IFERROR(VLOOKUP($B23,'2. ITEM MASTER'!$A:$D,3,FALSE),"")</f>
        <v/>
      </c>
    </row>
    <row r="24" spans="3:4" x14ac:dyDescent="0.35">
      <c r="C24" t="str">
        <f>IFERROR(VLOOKUP($B24,'2. ITEM MASTER'!$A:$D,2,FALSE),"")</f>
        <v/>
      </c>
      <c r="D24" t="str">
        <f>IFERROR(VLOOKUP($B24,'2. ITEM MASTER'!$A:$D,3,FALSE),"")</f>
        <v/>
      </c>
    </row>
    <row r="25" spans="3:4" x14ac:dyDescent="0.35">
      <c r="C25" t="str">
        <f>IFERROR(VLOOKUP($B25,'2. ITEM MASTER'!$A:$D,2,FALSE),"")</f>
        <v/>
      </c>
      <c r="D25" t="str">
        <f>IFERROR(VLOOKUP($B25,'2. ITEM MASTER'!$A:$D,3,FALSE),"")</f>
        <v/>
      </c>
    </row>
    <row r="26" spans="3:4" x14ac:dyDescent="0.35">
      <c r="C26" t="str">
        <f>IFERROR(VLOOKUP($B26,'2. ITEM MASTER'!$A:$D,2,FALSE),"")</f>
        <v/>
      </c>
      <c r="D26" t="str">
        <f>IFERROR(VLOOKUP($B26,'2. ITEM MASTER'!$A:$D,3,FALSE),"")</f>
        <v/>
      </c>
    </row>
    <row r="27" spans="3:4" x14ac:dyDescent="0.35">
      <c r="C27" t="str">
        <f>IFERROR(VLOOKUP($B27,'2. ITEM MASTER'!$A:$D,2,FALSE),"")</f>
        <v/>
      </c>
      <c r="D27" t="str">
        <f>IFERROR(VLOOKUP($B27,'2. ITEM MASTER'!$A:$D,3,FALSE),"")</f>
        <v/>
      </c>
    </row>
    <row r="28" spans="3:4" x14ac:dyDescent="0.35">
      <c r="C28" t="str">
        <f>IFERROR(VLOOKUP($B28,'2. ITEM MASTER'!$A:$D,2,FALSE),"")</f>
        <v/>
      </c>
      <c r="D28" t="str">
        <f>IFERROR(VLOOKUP($B28,'2. ITEM MASTER'!$A:$D,3,FALSE),"")</f>
        <v/>
      </c>
    </row>
    <row r="29" spans="3:4" x14ac:dyDescent="0.35">
      <c r="C29" t="str">
        <f>IFERROR(VLOOKUP($B29,'2. ITEM MASTER'!$A:$D,2,FALSE),"")</f>
        <v/>
      </c>
      <c r="D29" t="str">
        <f>IFERROR(VLOOKUP($B29,'2. ITEM MASTER'!$A:$D,3,FALSE),"")</f>
        <v/>
      </c>
    </row>
    <row r="30" spans="3:4" x14ac:dyDescent="0.35">
      <c r="C30" t="str">
        <f>IFERROR(VLOOKUP($B30,'2. ITEM MASTER'!$A:$D,2,FALSE),"")</f>
        <v/>
      </c>
      <c r="D30" t="str">
        <f>IFERROR(VLOOKUP($B30,'2. ITEM MASTER'!$A:$D,3,FALSE),"")</f>
        <v/>
      </c>
    </row>
    <row r="31" spans="3:4" x14ac:dyDescent="0.35">
      <c r="C31" t="str">
        <f>IFERROR(VLOOKUP($B31,'2. ITEM MASTER'!$A:$D,2,FALSE),"")</f>
        <v/>
      </c>
      <c r="D31" t="str">
        <f>IFERROR(VLOOKUP($B31,'2. ITEM MASTER'!$A:$D,3,FALSE),"")</f>
        <v/>
      </c>
    </row>
    <row r="32" spans="3:4" x14ac:dyDescent="0.35">
      <c r="C32" t="str">
        <f>IFERROR(VLOOKUP($B32,'2. ITEM MASTER'!$A:$D,2,FALSE),"")</f>
        <v/>
      </c>
      <c r="D32" t="str">
        <f>IFERROR(VLOOKUP($B32,'2. ITEM MASTER'!$A:$D,3,FALSE),"")</f>
        <v/>
      </c>
    </row>
    <row r="33" spans="3:4" x14ac:dyDescent="0.35">
      <c r="C33" t="str">
        <f>IFERROR(VLOOKUP($B33,'2. ITEM MASTER'!$A:$D,2,FALSE),"")</f>
        <v/>
      </c>
      <c r="D33" t="str">
        <f>IFERROR(VLOOKUP($B33,'2. ITEM MASTER'!$A:$D,3,FALSE),"")</f>
        <v/>
      </c>
    </row>
    <row r="34" spans="3:4" x14ac:dyDescent="0.35">
      <c r="C34" t="str">
        <f>IFERROR(VLOOKUP($B34,'2. ITEM MASTER'!$A:$D,2,FALSE),"")</f>
        <v/>
      </c>
      <c r="D34" t="str">
        <f>IFERROR(VLOOKUP($B34,'2. ITEM MASTER'!$A:$D,3,FALSE),"")</f>
        <v/>
      </c>
    </row>
    <row r="35" spans="3:4" x14ac:dyDescent="0.35">
      <c r="C35" t="str">
        <f>IFERROR(VLOOKUP($B35,'2. ITEM MASTER'!$A:$D,2,FALSE),"")</f>
        <v/>
      </c>
      <c r="D35" t="str">
        <f>IFERROR(VLOOKUP($B35,'2. ITEM MASTER'!$A:$D,3,FALSE),"")</f>
        <v/>
      </c>
    </row>
    <row r="36" spans="3:4" x14ac:dyDescent="0.35">
      <c r="C36" t="str">
        <f>IFERROR(VLOOKUP($B36,'2. ITEM MASTER'!$A:$D,2,FALSE),"")</f>
        <v/>
      </c>
      <c r="D36" t="str">
        <f>IFERROR(VLOOKUP($B36,'2. ITEM MASTER'!$A:$D,3,FALSE),"")</f>
        <v/>
      </c>
    </row>
    <row r="37" spans="3:4" x14ac:dyDescent="0.35">
      <c r="C37" t="str">
        <f>IFERROR(VLOOKUP($B37,'2. ITEM MASTER'!$A:$D,2,FALSE),"")</f>
        <v/>
      </c>
      <c r="D37" t="str">
        <f>IFERROR(VLOOKUP($B37,'2. ITEM MASTER'!$A:$D,3,FALSE),"")</f>
        <v/>
      </c>
    </row>
    <row r="38" spans="3:4" x14ac:dyDescent="0.35">
      <c r="C38" t="str">
        <f>IFERROR(VLOOKUP($B38,'2. ITEM MASTER'!$A:$D,2,FALSE),"")</f>
        <v/>
      </c>
      <c r="D38" t="str">
        <f>IFERROR(VLOOKUP($B38,'2. ITEM MASTER'!$A:$D,3,FALSE),"")</f>
        <v/>
      </c>
    </row>
    <row r="39" spans="3:4" x14ac:dyDescent="0.35">
      <c r="C39" t="str">
        <f>IFERROR(VLOOKUP($B39,'2. ITEM MASTER'!$A:$D,2,FALSE),"")</f>
        <v/>
      </c>
      <c r="D39" t="str">
        <f>IFERROR(VLOOKUP($B39,'2. ITEM MASTER'!$A:$D,3,FALSE),"")</f>
        <v/>
      </c>
    </row>
    <row r="40" spans="3:4" x14ac:dyDescent="0.35">
      <c r="C40" t="str">
        <f>IFERROR(VLOOKUP($B40,'2. ITEM MASTER'!$A:$D,2,FALSE),"")</f>
        <v/>
      </c>
      <c r="D40" t="str">
        <f>IFERROR(VLOOKUP($B40,'2. ITEM MASTER'!$A:$D,3,FALSE),"")</f>
        <v/>
      </c>
    </row>
    <row r="41" spans="3:4" x14ac:dyDescent="0.35">
      <c r="C41" t="str">
        <f>IFERROR(VLOOKUP($B41,'2. ITEM MASTER'!$A:$D,2,FALSE),"")</f>
        <v/>
      </c>
      <c r="D41" t="str">
        <f>IFERROR(VLOOKUP($B41,'2. ITEM MASTER'!$A:$D,3,FALSE),"")</f>
        <v/>
      </c>
    </row>
    <row r="42" spans="3:4" x14ac:dyDescent="0.35">
      <c r="C42" t="str">
        <f>IFERROR(VLOOKUP($B42,'2. ITEM MASTER'!$A:$D,2,FALSE),"")</f>
        <v/>
      </c>
      <c r="D42" t="str">
        <f>IFERROR(VLOOKUP($B42,'2. ITEM MASTER'!$A:$D,3,FALSE),"")</f>
        <v/>
      </c>
    </row>
    <row r="43" spans="3:4" x14ac:dyDescent="0.35">
      <c r="C43" t="str">
        <f>IFERROR(VLOOKUP($B43,'2. ITEM MASTER'!$A:$D,2,FALSE),"")</f>
        <v/>
      </c>
      <c r="D43" t="str">
        <f>IFERROR(VLOOKUP($B43,'2. ITEM MASTER'!$A:$D,3,FALSE),"")</f>
        <v/>
      </c>
    </row>
    <row r="44" spans="3:4" x14ac:dyDescent="0.35">
      <c r="C44" t="str">
        <f>IFERROR(VLOOKUP($B44,'2. ITEM MASTER'!$A:$D,2,FALSE),"")</f>
        <v/>
      </c>
      <c r="D44" t="str">
        <f>IFERROR(VLOOKUP($B44,'2. ITEM MASTER'!$A:$D,3,FALSE),"")</f>
        <v/>
      </c>
    </row>
    <row r="45" spans="3:4" x14ac:dyDescent="0.35">
      <c r="C45" t="str">
        <f>IFERROR(VLOOKUP($B45,'2. ITEM MASTER'!$A:$D,2,FALSE),"")</f>
        <v/>
      </c>
      <c r="D45" t="str">
        <f>IFERROR(VLOOKUP($B45,'2. ITEM MASTER'!$A:$D,3,FALSE),"")</f>
        <v/>
      </c>
    </row>
    <row r="46" spans="3:4" x14ac:dyDescent="0.35">
      <c r="C46" t="str">
        <f>IFERROR(VLOOKUP($B46,'2. ITEM MASTER'!$A:$D,2,FALSE),"")</f>
        <v/>
      </c>
      <c r="D46" t="str">
        <f>IFERROR(VLOOKUP($B46,'2. ITEM MASTER'!$A:$D,3,FALSE),"")</f>
        <v/>
      </c>
    </row>
    <row r="47" spans="3:4" x14ac:dyDescent="0.35">
      <c r="C47" t="str">
        <f>IFERROR(VLOOKUP($B47,'2. ITEM MASTER'!$A:$D,2,FALSE),"")</f>
        <v/>
      </c>
      <c r="D47" t="str">
        <f>IFERROR(VLOOKUP($B47,'2. ITEM MASTER'!$A:$D,3,FALSE),"")</f>
        <v/>
      </c>
    </row>
    <row r="48" spans="3:4" x14ac:dyDescent="0.35">
      <c r="C48" t="str">
        <f>IFERROR(VLOOKUP($B48,'2. ITEM MASTER'!$A:$D,2,FALSE),"")</f>
        <v/>
      </c>
      <c r="D48" t="str">
        <f>IFERROR(VLOOKUP($B48,'2. ITEM MASTER'!$A:$D,3,FALSE),"")</f>
        <v/>
      </c>
    </row>
    <row r="49" spans="3:4" x14ac:dyDescent="0.35">
      <c r="C49" t="str">
        <f>IFERROR(VLOOKUP($B49,'2. ITEM MASTER'!$A:$D,2,FALSE),"")</f>
        <v/>
      </c>
      <c r="D49" t="str">
        <f>IFERROR(VLOOKUP($B49,'2. ITEM MASTER'!$A:$D,3,FALSE),"")</f>
        <v/>
      </c>
    </row>
    <row r="50" spans="3:4" x14ac:dyDescent="0.35">
      <c r="C50" t="str">
        <f>IFERROR(VLOOKUP($B50,'2. ITEM MASTER'!$A:$D,2,FALSE),"")</f>
        <v/>
      </c>
      <c r="D50" t="str">
        <f>IFERROR(VLOOKUP($B50,'2. ITEM MASTER'!$A:$D,3,FALSE),"")</f>
        <v/>
      </c>
    </row>
    <row r="51" spans="3:4" x14ac:dyDescent="0.35">
      <c r="C51" t="str">
        <f>IFERROR(VLOOKUP($B51,'2. ITEM MASTER'!$A:$D,2,FALSE),"")</f>
        <v/>
      </c>
      <c r="D51" t="str">
        <f>IFERROR(VLOOKUP($B51,'2. ITEM MASTER'!$A:$D,3,FALSE),"")</f>
        <v/>
      </c>
    </row>
    <row r="52" spans="3:4" x14ac:dyDescent="0.35">
      <c r="C52" t="str">
        <f>IFERROR(VLOOKUP($B52,'2. ITEM MASTER'!$A:$D,2,FALSE),"")</f>
        <v/>
      </c>
      <c r="D52" t="str">
        <f>IFERROR(VLOOKUP($B52,'2. ITEM MASTER'!$A:$D,3,FALSE),"")</f>
        <v/>
      </c>
    </row>
    <row r="53" spans="3:4" x14ac:dyDescent="0.35">
      <c r="C53" t="str">
        <f>IFERROR(VLOOKUP($B53,'2. ITEM MASTER'!$A:$D,2,FALSE),"")</f>
        <v/>
      </c>
      <c r="D53" t="str">
        <f>IFERROR(VLOOKUP($B53,'2. ITEM MASTER'!$A:$D,3,FALSE),"")</f>
        <v/>
      </c>
    </row>
    <row r="54" spans="3:4" x14ac:dyDescent="0.35">
      <c r="C54" t="str">
        <f>IFERROR(VLOOKUP($B54,'2. ITEM MASTER'!$A:$D,2,FALSE),"")</f>
        <v/>
      </c>
      <c r="D54" t="str">
        <f>IFERROR(VLOOKUP($B54,'2. ITEM MASTER'!$A:$D,3,FALSE),"")</f>
        <v/>
      </c>
    </row>
    <row r="55" spans="3:4" x14ac:dyDescent="0.35">
      <c r="C55" t="str">
        <f>IFERROR(VLOOKUP($B55,'2. ITEM MASTER'!$A:$D,2,FALSE),"")</f>
        <v/>
      </c>
      <c r="D55" t="str">
        <f>IFERROR(VLOOKUP($B55,'2. ITEM MASTER'!$A:$D,3,FALSE),"")</f>
        <v/>
      </c>
    </row>
    <row r="56" spans="3:4" x14ac:dyDescent="0.35">
      <c r="C56" t="str">
        <f>IFERROR(VLOOKUP($B56,'2. ITEM MASTER'!$A:$D,2,FALSE),"")</f>
        <v/>
      </c>
      <c r="D56" t="str">
        <f>IFERROR(VLOOKUP($B56,'2. ITEM MASTER'!$A:$D,3,FALSE),"")</f>
        <v/>
      </c>
    </row>
    <row r="57" spans="3:4" x14ac:dyDescent="0.35">
      <c r="C57" t="str">
        <f>IFERROR(VLOOKUP($B57,'2. ITEM MASTER'!$A:$D,2,FALSE),"")</f>
        <v/>
      </c>
      <c r="D57" t="str">
        <f>IFERROR(VLOOKUP($B57,'2. ITEM MASTER'!$A:$D,3,FALSE),"")</f>
        <v/>
      </c>
    </row>
    <row r="58" spans="3:4" x14ac:dyDescent="0.35">
      <c r="C58" t="str">
        <f>IFERROR(VLOOKUP($B58,'2. ITEM MASTER'!$A:$D,2,FALSE),"")</f>
        <v/>
      </c>
      <c r="D58" t="str">
        <f>IFERROR(VLOOKUP($B58,'2. ITEM MASTER'!$A:$D,3,FALSE),"")</f>
        <v/>
      </c>
    </row>
    <row r="59" spans="3:4" x14ac:dyDescent="0.35">
      <c r="C59" t="str">
        <f>IFERROR(VLOOKUP($B59,'2. ITEM MASTER'!$A:$D,2,FALSE),"")</f>
        <v/>
      </c>
      <c r="D59" t="str">
        <f>IFERROR(VLOOKUP($B59,'2. ITEM MASTER'!$A:$D,3,FALSE),"")</f>
        <v/>
      </c>
    </row>
    <row r="60" spans="3:4" x14ac:dyDescent="0.35">
      <c r="C60" t="str">
        <f>IFERROR(VLOOKUP($B60,'2. ITEM MASTER'!$A:$D,2,FALSE),"")</f>
        <v/>
      </c>
      <c r="D60" t="str">
        <f>IFERROR(VLOOKUP($B60,'2. ITEM MASTER'!$A:$D,3,FALSE),"")</f>
        <v/>
      </c>
    </row>
    <row r="61" spans="3:4" x14ac:dyDescent="0.35">
      <c r="C61" t="str">
        <f>IFERROR(VLOOKUP($B61,'2. ITEM MASTER'!$A:$D,2,FALSE),"")</f>
        <v/>
      </c>
      <c r="D61" t="str">
        <f>IFERROR(VLOOKUP($B61,'2. ITEM MASTER'!$A:$D,3,FALSE),"")</f>
        <v/>
      </c>
    </row>
    <row r="62" spans="3:4" x14ac:dyDescent="0.35">
      <c r="C62" t="str">
        <f>IFERROR(VLOOKUP($B62,'2. ITEM MASTER'!$A:$D,2,FALSE),"")</f>
        <v/>
      </c>
      <c r="D62" t="str">
        <f>IFERROR(VLOOKUP($B62,'2. ITEM MASTER'!$A:$D,3,FALSE),"")</f>
        <v/>
      </c>
    </row>
    <row r="63" spans="3:4" x14ac:dyDescent="0.35">
      <c r="C63" t="str">
        <f>IFERROR(VLOOKUP($B63,'2. ITEM MASTER'!$A:$D,2,FALSE),"")</f>
        <v/>
      </c>
      <c r="D63" t="str">
        <f>IFERROR(VLOOKUP($B63,'2. ITEM MASTER'!$A:$D,3,FALSE),"")</f>
        <v/>
      </c>
    </row>
    <row r="64" spans="3:4" x14ac:dyDescent="0.35">
      <c r="C64" t="str">
        <f>IFERROR(VLOOKUP($B64,'2. ITEM MASTER'!$A:$D,2,FALSE),"")</f>
        <v/>
      </c>
      <c r="D64" t="str">
        <f>IFERROR(VLOOKUP($B64,'2. ITEM MASTER'!$A:$D,3,FALSE),"")</f>
        <v/>
      </c>
    </row>
    <row r="65" spans="3:4" x14ac:dyDescent="0.35">
      <c r="C65" t="str">
        <f>IFERROR(VLOOKUP($B65,'2. ITEM MASTER'!$A:$D,2,FALSE),"")</f>
        <v/>
      </c>
      <c r="D65" t="str">
        <f>IFERROR(VLOOKUP($B65,'2. ITEM MASTER'!$A:$D,3,FALSE),"")</f>
        <v/>
      </c>
    </row>
    <row r="66" spans="3:4" x14ac:dyDescent="0.35">
      <c r="C66" t="str">
        <f>IFERROR(VLOOKUP($B66,'2. ITEM MASTER'!$A:$D,2,FALSE),"")</f>
        <v/>
      </c>
      <c r="D66" t="str">
        <f>IFERROR(VLOOKUP($B66,'2. ITEM MASTER'!$A:$D,3,FALSE),"")</f>
        <v/>
      </c>
    </row>
    <row r="67" spans="3:4" x14ac:dyDescent="0.35">
      <c r="C67" t="str">
        <f>IFERROR(VLOOKUP($B67,'2. ITEM MASTER'!$A:$D,2,FALSE),"")</f>
        <v/>
      </c>
      <c r="D67" t="str">
        <f>IFERROR(VLOOKUP($B67,'2. ITEM MASTER'!$A:$D,3,FALSE),"")</f>
        <v/>
      </c>
    </row>
    <row r="68" spans="3:4" x14ac:dyDescent="0.35">
      <c r="C68" t="str">
        <f>IFERROR(VLOOKUP($B68,'2. ITEM MASTER'!$A:$D,2,FALSE),"")</f>
        <v/>
      </c>
      <c r="D68" t="str">
        <f>IFERROR(VLOOKUP($B68,'2. ITEM MASTER'!$A:$D,3,FALSE),"")</f>
        <v/>
      </c>
    </row>
    <row r="69" spans="3:4" x14ac:dyDescent="0.35">
      <c r="C69" t="str">
        <f>IFERROR(VLOOKUP($B69,'2. ITEM MASTER'!$A:$D,2,FALSE),"")</f>
        <v/>
      </c>
      <c r="D69" t="str">
        <f>IFERROR(VLOOKUP($B69,'2. ITEM MASTER'!$A:$D,3,FALSE),"")</f>
        <v/>
      </c>
    </row>
    <row r="70" spans="3:4" x14ac:dyDescent="0.35">
      <c r="C70" t="str">
        <f>IFERROR(VLOOKUP($B70,'2. ITEM MASTER'!$A:$D,2,FALSE),"")</f>
        <v/>
      </c>
      <c r="D70" t="str">
        <f>IFERROR(VLOOKUP($B70,'2. ITEM MASTER'!$A:$D,3,FALSE),"")</f>
        <v/>
      </c>
    </row>
    <row r="71" spans="3:4" x14ac:dyDescent="0.35">
      <c r="C71" t="str">
        <f>IFERROR(VLOOKUP($B71,'2. ITEM MASTER'!$A:$D,2,FALSE),"")</f>
        <v/>
      </c>
      <c r="D71" t="str">
        <f>IFERROR(VLOOKUP($B71,'2. ITEM MASTER'!$A:$D,3,FALSE),"")</f>
        <v/>
      </c>
    </row>
    <row r="72" spans="3:4" x14ac:dyDescent="0.35">
      <c r="C72" t="str">
        <f>IFERROR(VLOOKUP($B72,'2. ITEM MASTER'!$A:$D,2,FALSE),"")</f>
        <v/>
      </c>
      <c r="D72" t="str">
        <f>IFERROR(VLOOKUP($B72,'2. ITEM MASTER'!$A:$D,3,FALSE),"")</f>
        <v/>
      </c>
    </row>
    <row r="73" spans="3:4" x14ac:dyDescent="0.35">
      <c r="C73" t="str">
        <f>IFERROR(VLOOKUP($B73,'2. ITEM MASTER'!$A:$D,2,FALSE),"")</f>
        <v/>
      </c>
      <c r="D73" t="str">
        <f>IFERROR(VLOOKUP($B73,'2. ITEM MASTER'!$A:$D,3,FALSE),"")</f>
        <v/>
      </c>
    </row>
    <row r="74" spans="3:4" x14ac:dyDescent="0.35">
      <c r="C74" t="str">
        <f>IFERROR(VLOOKUP($B74,'2. ITEM MASTER'!$A:$D,2,FALSE),"")</f>
        <v/>
      </c>
      <c r="D74" t="str">
        <f>IFERROR(VLOOKUP($B74,'2. ITEM MASTER'!$A:$D,3,FALSE),"")</f>
        <v/>
      </c>
    </row>
    <row r="75" spans="3:4" x14ac:dyDescent="0.35">
      <c r="C75" t="str">
        <f>IFERROR(VLOOKUP($B75,'2. ITEM MASTER'!$A:$D,2,FALSE),"")</f>
        <v/>
      </c>
      <c r="D75" t="str">
        <f>IFERROR(VLOOKUP($B75,'2. ITEM MASTER'!$A:$D,3,FALSE),"")</f>
        <v/>
      </c>
    </row>
    <row r="76" spans="3:4" x14ac:dyDescent="0.35">
      <c r="C76" t="str">
        <f>IFERROR(VLOOKUP($B76,'2. ITEM MASTER'!$A:$D,2,FALSE),"")</f>
        <v/>
      </c>
      <c r="D76" t="str">
        <f>IFERROR(VLOOKUP($B76,'2. ITEM MASTER'!$A:$D,3,FALSE),"")</f>
        <v/>
      </c>
    </row>
    <row r="77" spans="3:4" x14ac:dyDescent="0.35">
      <c r="C77" t="str">
        <f>IFERROR(VLOOKUP($B77,'2. ITEM MASTER'!$A:$D,2,FALSE),"")</f>
        <v/>
      </c>
      <c r="D77" t="str">
        <f>IFERROR(VLOOKUP($B77,'2. ITEM MASTER'!$A:$D,3,FALSE),"")</f>
        <v/>
      </c>
    </row>
    <row r="78" spans="3:4" x14ac:dyDescent="0.35">
      <c r="C78" t="str">
        <f>IFERROR(VLOOKUP($B78,'2. ITEM MASTER'!$A:$D,2,FALSE),"")</f>
        <v/>
      </c>
      <c r="D78" t="str">
        <f>IFERROR(VLOOKUP($B78,'2. ITEM MASTER'!$A:$D,3,FALSE),"")</f>
        <v/>
      </c>
    </row>
    <row r="79" spans="3:4" x14ac:dyDescent="0.35">
      <c r="C79" t="str">
        <f>IFERROR(VLOOKUP($B79,'2. ITEM MASTER'!$A:$D,2,FALSE),"")</f>
        <v/>
      </c>
      <c r="D79" t="str">
        <f>IFERROR(VLOOKUP($B79,'2. ITEM MASTER'!$A:$D,3,FALSE),"")</f>
        <v/>
      </c>
    </row>
    <row r="80" spans="3:4" x14ac:dyDescent="0.35">
      <c r="C80" t="str">
        <f>IFERROR(VLOOKUP($B80,'2. ITEM MASTER'!$A:$D,2,FALSE),"")</f>
        <v/>
      </c>
      <c r="D80" t="str">
        <f>IFERROR(VLOOKUP($B80,'2. ITEM MASTER'!$A:$D,3,FALSE),"")</f>
        <v/>
      </c>
    </row>
    <row r="81" spans="3:4" x14ac:dyDescent="0.35">
      <c r="C81" t="str">
        <f>IFERROR(VLOOKUP($B81,'2. ITEM MASTER'!$A:$D,2,FALSE),"")</f>
        <v/>
      </c>
      <c r="D81" t="str">
        <f>IFERROR(VLOOKUP($B81,'2. ITEM MASTER'!$A:$D,3,FALSE),"")</f>
        <v/>
      </c>
    </row>
    <row r="82" spans="3:4" x14ac:dyDescent="0.35">
      <c r="C82" t="str">
        <f>IFERROR(VLOOKUP($B82,'2. ITEM MASTER'!$A:$D,2,FALSE),"")</f>
        <v/>
      </c>
      <c r="D82" t="str">
        <f>IFERROR(VLOOKUP($B82,'2. ITEM MASTER'!$A:$D,3,FALSE),"")</f>
        <v/>
      </c>
    </row>
    <row r="83" spans="3:4" x14ac:dyDescent="0.35">
      <c r="C83" t="str">
        <f>IFERROR(VLOOKUP($B83,'2. ITEM MASTER'!$A:$D,2,FALSE),"")</f>
        <v/>
      </c>
      <c r="D83" t="str">
        <f>IFERROR(VLOOKUP($B83,'2. ITEM MASTER'!$A:$D,3,FALSE),"")</f>
        <v/>
      </c>
    </row>
    <row r="84" spans="3:4" x14ac:dyDescent="0.35">
      <c r="C84" t="str">
        <f>IFERROR(VLOOKUP($B84,'2. ITEM MASTER'!$A:$D,2,FALSE),"")</f>
        <v/>
      </c>
      <c r="D84" t="str">
        <f>IFERROR(VLOOKUP($B84,'2. ITEM MASTER'!$A:$D,3,FALSE),"")</f>
        <v/>
      </c>
    </row>
    <row r="85" spans="3:4" x14ac:dyDescent="0.35">
      <c r="C85" t="str">
        <f>IFERROR(VLOOKUP($B85,'2. ITEM MASTER'!$A:$D,2,FALSE),"")</f>
        <v/>
      </c>
      <c r="D85" t="str">
        <f>IFERROR(VLOOKUP($B85,'2. ITEM MASTER'!$A:$D,3,FALSE),"")</f>
        <v/>
      </c>
    </row>
    <row r="86" spans="3:4" x14ac:dyDescent="0.35">
      <c r="C86" t="str">
        <f>IFERROR(VLOOKUP($B86,'2. ITEM MASTER'!$A:$D,2,FALSE),"")</f>
        <v/>
      </c>
      <c r="D86" t="str">
        <f>IFERROR(VLOOKUP($B86,'2. ITEM MASTER'!$A:$D,3,FALSE),"")</f>
        <v/>
      </c>
    </row>
    <row r="87" spans="3:4" x14ac:dyDescent="0.35">
      <c r="C87" t="str">
        <f>IFERROR(VLOOKUP($B87,'2. ITEM MASTER'!$A:$D,2,FALSE),"")</f>
        <v/>
      </c>
      <c r="D87" t="str">
        <f>IFERROR(VLOOKUP($B87,'2. ITEM MASTER'!$A:$D,3,FALSE),"")</f>
        <v/>
      </c>
    </row>
    <row r="88" spans="3:4" x14ac:dyDescent="0.35">
      <c r="C88" t="str">
        <f>IFERROR(VLOOKUP($B88,'2. ITEM MASTER'!$A:$D,2,FALSE),"")</f>
        <v/>
      </c>
      <c r="D88" t="str">
        <f>IFERROR(VLOOKUP($B88,'2. ITEM MASTER'!$A:$D,3,FALSE),"")</f>
        <v/>
      </c>
    </row>
    <row r="89" spans="3:4" x14ac:dyDescent="0.35">
      <c r="C89" t="str">
        <f>IFERROR(VLOOKUP($B89,'2. ITEM MASTER'!$A:$D,2,FALSE),"")</f>
        <v/>
      </c>
      <c r="D89" t="str">
        <f>IFERROR(VLOOKUP($B89,'2. ITEM MASTER'!$A:$D,3,FALSE),"")</f>
        <v/>
      </c>
    </row>
    <row r="90" spans="3:4" x14ac:dyDescent="0.35">
      <c r="C90" t="str">
        <f>IFERROR(VLOOKUP($B90,'2. ITEM MASTER'!$A:$D,2,FALSE),"")</f>
        <v/>
      </c>
      <c r="D90" t="str">
        <f>IFERROR(VLOOKUP($B90,'2. ITEM MASTER'!$A:$D,3,FALSE),"")</f>
        <v/>
      </c>
    </row>
    <row r="91" spans="3:4" x14ac:dyDescent="0.35">
      <c r="C91" t="str">
        <f>IFERROR(VLOOKUP($B91,'2. ITEM MASTER'!$A:$D,2,FALSE),"")</f>
        <v/>
      </c>
      <c r="D91" t="str">
        <f>IFERROR(VLOOKUP($B91,'2. ITEM MASTER'!$A:$D,3,FALSE),"")</f>
        <v/>
      </c>
    </row>
    <row r="92" spans="3:4" x14ac:dyDescent="0.35">
      <c r="C92" t="str">
        <f>IFERROR(VLOOKUP($B92,'2. ITEM MASTER'!$A:$D,2,FALSE),"")</f>
        <v/>
      </c>
      <c r="D92" t="str">
        <f>IFERROR(VLOOKUP($B92,'2. ITEM MASTER'!$A:$D,3,FALSE),"")</f>
        <v/>
      </c>
    </row>
    <row r="93" spans="3:4" x14ac:dyDescent="0.35">
      <c r="C93" t="str">
        <f>IFERROR(VLOOKUP($B93,'2. ITEM MASTER'!$A:$D,2,FALSE),"")</f>
        <v/>
      </c>
      <c r="D93" t="str">
        <f>IFERROR(VLOOKUP($B93,'2. ITEM MASTER'!$A:$D,3,FALSE),"")</f>
        <v/>
      </c>
    </row>
    <row r="94" spans="3:4" x14ac:dyDescent="0.35">
      <c r="C94" t="str">
        <f>IFERROR(VLOOKUP($B94,'2. ITEM MASTER'!$A:$D,2,FALSE),"")</f>
        <v/>
      </c>
      <c r="D94" t="str">
        <f>IFERROR(VLOOKUP($B94,'2. ITEM MASTER'!$A:$D,3,FALSE),"")</f>
        <v/>
      </c>
    </row>
    <row r="95" spans="3:4" x14ac:dyDescent="0.35">
      <c r="C95" t="str">
        <f>IFERROR(VLOOKUP($B95,'2. ITEM MASTER'!$A:$D,2,FALSE),"")</f>
        <v/>
      </c>
      <c r="D95" t="str">
        <f>IFERROR(VLOOKUP($B95,'2. ITEM MASTER'!$A:$D,3,FALSE),"")</f>
        <v/>
      </c>
    </row>
    <row r="96" spans="3:4" x14ac:dyDescent="0.35">
      <c r="C96" t="str">
        <f>IFERROR(VLOOKUP($B96,'2. ITEM MASTER'!$A:$D,2,FALSE),"")</f>
        <v/>
      </c>
      <c r="D96" t="str">
        <f>IFERROR(VLOOKUP($B96,'2. ITEM MASTER'!$A:$D,3,FALSE),"")</f>
        <v/>
      </c>
    </row>
    <row r="97" spans="3:4" x14ac:dyDescent="0.35">
      <c r="C97" t="str">
        <f>IFERROR(VLOOKUP($B97,'2. ITEM MASTER'!$A:$D,2,FALSE),"")</f>
        <v/>
      </c>
      <c r="D97" t="str">
        <f>IFERROR(VLOOKUP($B97,'2. ITEM MASTER'!$A:$D,3,FALSE),"")</f>
        <v/>
      </c>
    </row>
    <row r="98" spans="3:4" x14ac:dyDescent="0.35">
      <c r="C98" t="str">
        <f>IFERROR(VLOOKUP($B98,'2. ITEM MASTER'!$A:$D,2,FALSE),"")</f>
        <v/>
      </c>
      <c r="D98" t="str">
        <f>IFERROR(VLOOKUP($B98,'2. ITEM MASTER'!$A:$D,3,FALSE),"")</f>
        <v/>
      </c>
    </row>
    <row r="99" spans="3:4" x14ac:dyDescent="0.35">
      <c r="C99" t="str">
        <f>IFERROR(VLOOKUP($B99,'2. ITEM MASTER'!$A:$D,2,FALSE),"")</f>
        <v/>
      </c>
      <c r="D99" t="str">
        <f>IFERROR(VLOOKUP($B99,'2. ITEM MASTER'!$A:$D,3,FALSE),"")</f>
        <v/>
      </c>
    </row>
    <row r="100" spans="3:4" x14ac:dyDescent="0.35">
      <c r="C100" t="str">
        <f>IFERROR(VLOOKUP($B100,'2. ITEM MASTER'!$A:$D,2,FALSE),"")</f>
        <v/>
      </c>
      <c r="D100" t="str">
        <f>IFERROR(VLOOKUP($B100,'2. ITEM MASTER'!$A:$D,3,FALSE),"")</f>
        <v/>
      </c>
    </row>
    <row r="101" spans="3:4" x14ac:dyDescent="0.35">
      <c r="C101" t="str">
        <f>IFERROR(VLOOKUP($B101,'2. ITEM MASTER'!$A:$D,2,FALSE),"")</f>
        <v/>
      </c>
      <c r="D101" t="str">
        <f>IFERROR(VLOOKUP($B101,'2. ITEM MASTER'!$A:$D,3,FALSE),"")</f>
        <v/>
      </c>
    </row>
    <row r="102" spans="3:4" x14ac:dyDescent="0.35">
      <c r="C102" t="str">
        <f>IFERROR(VLOOKUP($B102,'2. ITEM MASTER'!$A:$D,2,FALSE),"")</f>
        <v/>
      </c>
      <c r="D102" t="str">
        <f>IFERROR(VLOOKUP($B102,'2. ITEM MASTER'!$A:$D,3,FALSE),"")</f>
        <v/>
      </c>
    </row>
    <row r="103" spans="3:4" x14ac:dyDescent="0.35">
      <c r="C103" t="str">
        <f>IFERROR(VLOOKUP($B103,'2. ITEM MASTER'!$A:$D,2,FALSE),"")</f>
        <v/>
      </c>
      <c r="D103" t="str">
        <f>IFERROR(VLOOKUP($B103,'2. ITEM MASTER'!$A:$D,3,FALSE),"")</f>
        <v/>
      </c>
    </row>
    <row r="104" spans="3:4" x14ac:dyDescent="0.35">
      <c r="C104" t="str">
        <f>IFERROR(VLOOKUP($B104,'2. ITEM MASTER'!$A:$D,2,FALSE),"")</f>
        <v/>
      </c>
      <c r="D104" t="str">
        <f>IFERROR(VLOOKUP($B104,'2. ITEM MASTER'!$A:$D,3,FALSE),"")</f>
        <v/>
      </c>
    </row>
    <row r="105" spans="3:4" x14ac:dyDescent="0.35">
      <c r="C105" t="str">
        <f>IFERROR(VLOOKUP($B105,'2. ITEM MASTER'!$A:$D,2,FALSE),"")</f>
        <v/>
      </c>
      <c r="D105" t="str">
        <f>IFERROR(VLOOKUP($B105,'2. ITEM MASTER'!$A:$D,3,FALSE),"")</f>
        <v/>
      </c>
    </row>
    <row r="106" spans="3:4" x14ac:dyDescent="0.35">
      <c r="C106" t="str">
        <f>IFERROR(VLOOKUP($B106,'2. ITEM MASTER'!$A:$D,2,FALSE),"")</f>
        <v/>
      </c>
      <c r="D106" t="str">
        <f>IFERROR(VLOOKUP($B106,'2. ITEM MASTER'!$A:$D,3,FALSE),"")</f>
        <v/>
      </c>
    </row>
    <row r="107" spans="3:4" x14ac:dyDescent="0.35">
      <c r="C107" t="str">
        <f>IFERROR(VLOOKUP($B107,'2. ITEM MASTER'!$A:$D,2,FALSE),"")</f>
        <v/>
      </c>
      <c r="D107" t="str">
        <f>IFERROR(VLOOKUP($B107,'2. ITEM MASTER'!$A:$D,3,FALSE),"")</f>
        <v/>
      </c>
    </row>
    <row r="108" spans="3:4" x14ac:dyDescent="0.35">
      <c r="C108" t="str">
        <f>IFERROR(VLOOKUP($B108,'2. ITEM MASTER'!$A:$D,2,FALSE),"")</f>
        <v/>
      </c>
      <c r="D108" t="str">
        <f>IFERROR(VLOOKUP($B108,'2. ITEM MASTER'!$A:$D,3,FALSE),"")</f>
        <v/>
      </c>
    </row>
    <row r="109" spans="3:4" x14ac:dyDescent="0.35">
      <c r="C109" t="str">
        <f>IFERROR(VLOOKUP($B109,'2. ITEM MASTER'!$A:$D,2,FALSE),"")</f>
        <v/>
      </c>
      <c r="D109" t="str">
        <f>IFERROR(VLOOKUP($B109,'2. ITEM MASTER'!$A:$D,3,FALSE),"")</f>
        <v/>
      </c>
    </row>
    <row r="110" spans="3:4" x14ac:dyDescent="0.35">
      <c r="C110" t="str">
        <f>IFERROR(VLOOKUP($B110,'2. ITEM MASTER'!$A:$D,2,FALSE),"")</f>
        <v/>
      </c>
      <c r="D110" t="str">
        <f>IFERROR(VLOOKUP($B110,'2. ITEM MASTER'!$A:$D,3,FALSE),"")</f>
        <v/>
      </c>
    </row>
    <row r="111" spans="3:4" x14ac:dyDescent="0.35">
      <c r="C111" t="str">
        <f>IFERROR(VLOOKUP($B111,'2. ITEM MASTER'!$A:$D,2,FALSE),"")</f>
        <v/>
      </c>
      <c r="D111" t="str">
        <f>IFERROR(VLOOKUP($B111,'2. ITEM MASTER'!$A:$D,3,FALSE),"")</f>
        <v/>
      </c>
    </row>
    <row r="112" spans="3:4" x14ac:dyDescent="0.35">
      <c r="C112" t="str">
        <f>IFERROR(VLOOKUP($B112,'2. ITEM MASTER'!$A:$D,2,FALSE),"")</f>
        <v/>
      </c>
      <c r="D112" t="str">
        <f>IFERROR(VLOOKUP($B112,'2. ITEM MASTER'!$A:$D,3,FALSE),"")</f>
        <v/>
      </c>
    </row>
    <row r="113" spans="3:4" x14ac:dyDescent="0.35">
      <c r="C113" t="str">
        <f>IFERROR(VLOOKUP($B113,'2. ITEM MASTER'!$A:$D,2,FALSE),"")</f>
        <v/>
      </c>
      <c r="D113" t="str">
        <f>IFERROR(VLOOKUP($B113,'2. ITEM MASTER'!$A:$D,3,FALSE),"")</f>
        <v/>
      </c>
    </row>
    <row r="114" spans="3:4" x14ac:dyDescent="0.35">
      <c r="C114" t="str">
        <f>IFERROR(VLOOKUP($B114,'2. ITEM MASTER'!$A:$D,2,FALSE),"")</f>
        <v/>
      </c>
      <c r="D114" t="str">
        <f>IFERROR(VLOOKUP($B114,'2. ITEM MASTER'!$A:$D,3,FALSE),"")</f>
        <v/>
      </c>
    </row>
    <row r="115" spans="3:4" x14ac:dyDescent="0.35">
      <c r="C115" t="str">
        <f>IFERROR(VLOOKUP($B115,'2. ITEM MASTER'!$A:$D,2,FALSE),"")</f>
        <v/>
      </c>
      <c r="D115" t="str">
        <f>IFERROR(VLOOKUP($B115,'2. ITEM MASTER'!$A:$D,3,FALSE),"")</f>
        <v/>
      </c>
    </row>
    <row r="116" spans="3:4" x14ac:dyDescent="0.35">
      <c r="C116" t="str">
        <f>IFERROR(VLOOKUP($B116,'2. ITEM MASTER'!$A:$D,2,FALSE),"")</f>
        <v/>
      </c>
      <c r="D116" t="str">
        <f>IFERROR(VLOOKUP($B116,'2. ITEM MASTER'!$A:$D,3,FALSE),"")</f>
        <v/>
      </c>
    </row>
    <row r="117" spans="3:4" x14ac:dyDescent="0.35">
      <c r="C117" t="str">
        <f>IFERROR(VLOOKUP($B117,'2. ITEM MASTER'!$A:$D,2,FALSE),"")</f>
        <v/>
      </c>
      <c r="D117" t="str">
        <f>IFERROR(VLOOKUP($B117,'2. ITEM MASTER'!$A:$D,3,FALSE),"")</f>
        <v/>
      </c>
    </row>
    <row r="118" spans="3:4" x14ac:dyDescent="0.35">
      <c r="C118" t="str">
        <f>IFERROR(VLOOKUP($B118,'2. ITEM MASTER'!$A:$D,2,FALSE),"")</f>
        <v/>
      </c>
      <c r="D118" t="str">
        <f>IFERROR(VLOOKUP($B118,'2. ITEM MASTER'!$A:$D,3,FALSE),"")</f>
        <v/>
      </c>
    </row>
    <row r="119" spans="3:4" x14ac:dyDescent="0.35">
      <c r="C119" t="str">
        <f>IFERROR(VLOOKUP($B119,'2. ITEM MASTER'!$A:$D,2,FALSE),"")</f>
        <v/>
      </c>
      <c r="D119" t="str">
        <f>IFERROR(VLOOKUP($B119,'2. ITEM MASTER'!$A:$D,3,FALSE),"")</f>
        <v/>
      </c>
    </row>
    <row r="120" spans="3:4" x14ac:dyDescent="0.35">
      <c r="C120" t="str">
        <f>IFERROR(VLOOKUP($B120,'2. ITEM MASTER'!$A:$D,2,FALSE),"")</f>
        <v/>
      </c>
      <c r="D120" t="str">
        <f>IFERROR(VLOOKUP($B120,'2. ITEM MASTER'!$A:$D,3,FALSE),"")</f>
        <v/>
      </c>
    </row>
    <row r="121" spans="3:4" x14ac:dyDescent="0.35">
      <c r="C121" t="str">
        <f>IFERROR(VLOOKUP($B121,'2. ITEM MASTER'!$A:$D,2,FALSE),"")</f>
        <v/>
      </c>
      <c r="D121" t="str">
        <f>IFERROR(VLOOKUP($B121,'2. ITEM MASTER'!$A:$D,3,FALSE),"")</f>
        <v/>
      </c>
    </row>
    <row r="122" spans="3:4" x14ac:dyDescent="0.35">
      <c r="C122" t="str">
        <f>IFERROR(VLOOKUP($B122,'2. ITEM MASTER'!$A:$D,2,FALSE),"")</f>
        <v/>
      </c>
      <c r="D122" t="str">
        <f>IFERROR(VLOOKUP($B122,'2. ITEM MASTER'!$A:$D,3,FALSE),"")</f>
        <v/>
      </c>
    </row>
    <row r="123" spans="3:4" x14ac:dyDescent="0.35">
      <c r="C123" t="str">
        <f>IFERROR(VLOOKUP($B123,'2. ITEM MASTER'!$A:$D,2,FALSE),"")</f>
        <v/>
      </c>
      <c r="D123" t="str">
        <f>IFERROR(VLOOKUP($B123,'2. ITEM MASTER'!$A:$D,3,FALSE),"")</f>
        <v/>
      </c>
    </row>
    <row r="124" spans="3:4" x14ac:dyDescent="0.35">
      <c r="C124" t="str">
        <f>IFERROR(VLOOKUP($B124,'2. ITEM MASTER'!$A:$D,2,FALSE),"")</f>
        <v/>
      </c>
      <c r="D124" t="str">
        <f>IFERROR(VLOOKUP($B124,'2. ITEM MASTER'!$A:$D,3,FALSE),"")</f>
        <v/>
      </c>
    </row>
    <row r="125" spans="3:4" x14ac:dyDescent="0.35">
      <c r="C125" t="str">
        <f>IFERROR(VLOOKUP($B125,'2. ITEM MASTER'!$A:$D,2,FALSE),"")</f>
        <v/>
      </c>
      <c r="D125" t="str">
        <f>IFERROR(VLOOKUP($B125,'2. ITEM MASTER'!$A:$D,3,FALSE),"")</f>
        <v/>
      </c>
    </row>
    <row r="126" spans="3:4" x14ac:dyDescent="0.35">
      <c r="C126" t="str">
        <f>IFERROR(VLOOKUP($B126,'2. ITEM MASTER'!$A:$D,2,FALSE),"")</f>
        <v/>
      </c>
      <c r="D126" t="str">
        <f>IFERROR(VLOOKUP($B126,'2. ITEM MASTER'!$A:$D,3,FALSE),"")</f>
        <v/>
      </c>
    </row>
    <row r="127" spans="3:4" x14ac:dyDescent="0.35">
      <c r="C127" t="str">
        <f>IFERROR(VLOOKUP($B127,'2. ITEM MASTER'!$A:$D,2,FALSE),"")</f>
        <v/>
      </c>
      <c r="D127" t="str">
        <f>IFERROR(VLOOKUP($B127,'2. ITEM MASTER'!$A:$D,3,FALSE),"")</f>
        <v/>
      </c>
    </row>
    <row r="128" spans="3:4" x14ac:dyDescent="0.35">
      <c r="C128" t="str">
        <f>IFERROR(VLOOKUP($B128,'2. ITEM MASTER'!$A:$D,2,FALSE),"")</f>
        <v/>
      </c>
      <c r="D128" t="str">
        <f>IFERROR(VLOOKUP($B128,'2. ITEM MASTER'!$A:$D,3,FALSE),"")</f>
        <v/>
      </c>
    </row>
    <row r="129" spans="3:4" x14ac:dyDescent="0.35">
      <c r="C129" t="str">
        <f>IFERROR(VLOOKUP($B129,'2. ITEM MASTER'!$A:$D,2,FALSE),"")</f>
        <v/>
      </c>
      <c r="D129" t="str">
        <f>IFERROR(VLOOKUP($B129,'2. ITEM MASTER'!$A:$D,3,FALSE),"")</f>
        <v/>
      </c>
    </row>
    <row r="130" spans="3:4" x14ac:dyDescent="0.35">
      <c r="C130" t="str">
        <f>IFERROR(VLOOKUP($B130,'2. ITEM MASTER'!$A:$D,2,FALSE),"")</f>
        <v/>
      </c>
      <c r="D130" t="str">
        <f>IFERROR(VLOOKUP($B130,'2. ITEM MASTER'!$A:$D,3,FALSE),"")</f>
        <v/>
      </c>
    </row>
    <row r="131" spans="3:4" x14ac:dyDescent="0.35">
      <c r="C131" t="str">
        <f>IFERROR(VLOOKUP($B131,'2. ITEM MASTER'!$A:$D,2,FALSE),"")</f>
        <v/>
      </c>
      <c r="D131" t="str">
        <f>IFERROR(VLOOKUP($B131,'2. ITEM MASTER'!$A:$D,3,FALSE),"")</f>
        <v/>
      </c>
    </row>
    <row r="132" spans="3:4" x14ac:dyDescent="0.35">
      <c r="C132" t="str">
        <f>IFERROR(VLOOKUP($B132,'2. ITEM MASTER'!$A:$D,2,FALSE),"")</f>
        <v/>
      </c>
      <c r="D132" t="str">
        <f>IFERROR(VLOOKUP($B132,'2. ITEM MASTER'!$A:$D,3,FALSE),"")</f>
        <v/>
      </c>
    </row>
    <row r="133" spans="3:4" x14ac:dyDescent="0.35">
      <c r="C133" t="str">
        <f>IFERROR(VLOOKUP($B133,'2. ITEM MASTER'!$A:$D,2,FALSE),"")</f>
        <v/>
      </c>
      <c r="D133" t="str">
        <f>IFERROR(VLOOKUP($B133,'2. ITEM MASTER'!$A:$D,3,FALSE),"")</f>
        <v/>
      </c>
    </row>
    <row r="134" spans="3:4" x14ac:dyDescent="0.35">
      <c r="C134" t="str">
        <f>IFERROR(VLOOKUP($B134,'2. ITEM MASTER'!$A:$D,2,FALSE),"")</f>
        <v/>
      </c>
      <c r="D134" t="str">
        <f>IFERROR(VLOOKUP($B134,'2. ITEM MASTER'!$A:$D,3,FALSE),"")</f>
        <v/>
      </c>
    </row>
    <row r="135" spans="3:4" x14ac:dyDescent="0.35">
      <c r="C135" t="str">
        <f>IFERROR(VLOOKUP($B135,'2. ITEM MASTER'!$A:$D,2,FALSE),"")</f>
        <v/>
      </c>
      <c r="D135" t="str">
        <f>IFERROR(VLOOKUP($B135,'2. ITEM MASTER'!$A:$D,3,FALSE),"")</f>
        <v/>
      </c>
    </row>
    <row r="136" spans="3:4" x14ac:dyDescent="0.35">
      <c r="C136" t="str">
        <f>IFERROR(VLOOKUP($B136,'2. ITEM MASTER'!$A:$D,2,FALSE),"")</f>
        <v/>
      </c>
      <c r="D136" t="str">
        <f>IFERROR(VLOOKUP($B136,'2. ITEM MASTER'!$A:$D,3,FALSE),"")</f>
        <v/>
      </c>
    </row>
    <row r="137" spans="3:4" x14ac:dyDescent="0.35">
      <c r="C137" t="str">
        <f>IFERROR(VLOOKUP($B137,'2. ITEM MASTER'!$A:$D,2,FALSE),"")</f>
        <v/>
      </c>
      <c r="D137" t="str">
        <f>IFERROR(VLOOKUP($B137,'2. ITEM MASTER'!$A:$D,3,FALSE),"")</f>
        <v/>
      </c>
    </row>
    <row r="138" spans="3:4" x14ac:dyDescent="0.35">
      <c r="C138" t="str">
        <f>IFERROR(VLOOKUP($B138,'2. ITEM MASTER'!$A:$D,2,FALSE),"")</f>
        <v/>
      </c>
      <c r="D138" t="str">
        <f>IFERROR(VLOOKUP($B138,'2. ITEM MASTER'!$A:$D,3,FALSE),"")</f>
        <v/>
      </c>
    </row>
    <row r="139" spans="3:4" x14ac:dyDescent="0.35">
      <c r="C139" t="str">
        <f>IFERROR(VLOOKUP($B139,'2. ITEM MASTER'!$A:$D,2,FALSE),"")</f>
        <v/>
      </c>
      <c r="D139" t="str">
        <f>IFERROR(VLOOKUP($B139,'2. ITEM MASTER'!$A:$D,3,FALSE),"")</f>
        <v/>
      </c>
    </row>
    <row r="140" spans="3:4" x14ac:dyDescent="0.35">
      <c r="C140" t="str">
        <f>IFERROR(VLOOKUP($B140,'2. ITEM MASTER'!$A:$D,2,FALSE),"")</f>
        <v/>
      </c>
      <c r="D140" t="str">
        <f>IFERROR(VLOOKUP($B140,'2. ITEM MASTER'!$A:$D,3,FALSE),"")</f>
        <v/>
      </c>
    </row>
    <row r="141" spans="3:4" x14ac:dyDescent="0.35">
      <c r="C141" t="str">
        <f>IFERROR(VLOOKUP($B141,'2. ITEM MASTER'!$A:$D,2,FALSE),"")</f>
        <v/>
      </c>
      <c r="D141" t="str">
        <f>IFERROR(VLOOKUP($B141,'2. ITEM MASTER'!$A:$D,3,FALSE),"")</f>
        <v/>
      </c>
    </row>
    <row r="142" spans="3:4" x14ac:dyDescent="0.35">
      <c r="C142" t="str">
        <f>IFERROR(VLOOKUP($B142,'2. ITEM MASTER'!$A:$D,2,FALSE),"")</f>
        <v/>
      </c>
      <c r="D142" t="str">
        <f>IFERROR(VLOOKUP($B142,'2. ITEM MASTER'!$A:$D,3,FALSE),"")</f>
        <v/>
      </c>
    </row>
    <row r="143" spans="3:4" x14ac:dyDescent="0.35">
      <c r="C143" t="str">
        <f>IFERROR(VLOOKUP($B143,'2. ITEM MASTER'!$A:$D,2,FALSE),"")</f>
        <v/>
      </c>
      <c r="D143" t="str">
        <f>IFERROR(VLOOKUP($B143,'2. ITEM MASTER'!$A:$D,3,FALSE),"")</f>
        <v/>
      </c>
    </row>
    <row r="144" spans="3:4" x14ac:dyDescent="0.35">
      <c r="C144" t="str">
        <f>IFERROR(VLOOKUP($B144,'2. ITEM MASTER'!$A:$D,2,FALSE),"")</f>
        <v/>
      </c>
      <c r="D144" t="str">
        <f>IFERROR(VLOOKUP($B144,'2. ITEM MASTER'!$A:$D,3,FALSE),"")</f>
        <v/>
      </c>
    </row>
    <row r="145" spans="3:4" x14ac:dyDescent="0.35">
      <c r="C145" t="str">
        <f>IFERROR(VLOOKUP($B145,'2. ITEM MASTER'!$A:$D,2,FALSE),"")</f>
        <v/>
      </c>
      <c r="D145" t="str">
        <f>IFERROR(VLOOKUP($B145,'2. ITEM MASTER'!$A:$D,3,FALSE),"")</f>
        <v/>
      </c>
    </row>
    <row r="146" spans="3:4" x14ac:dyDescent="0.35">
      <c r="C146" t="str">
        <f>IFERROR(VLOOKUP($B146,'2. ITEM MASTER'!$A:$D,2,FALSE),"")</f>
        <v/>
      </c>
      <c r="D146" t="str">
        <f>IFERROR(VLOOKUP($B146,'2. ITEM MASTER'!$A:$D,3,FALSE),"")</f>
        <v/>
      </c>
    </row>
    <row r="147" spans="3:4" x14ac:dyDescent="0.35">
      <c r="C147" t="str">
        <f>IFERROR(VLOOKUP($B147,'2. ITEM MASTER'!$A:$D,2,FALSE),"")</f>
        <v/>
      </c>
      <c r="D147" t="str">
        <f>IFERROR(VLOOKUP($B147,'2. ITEM MASTER'!$A:$D,3,FALSE),"")</f>
        <v/>
      </c>
    </row>
    <row r="148" spans="3:4" x14ac:dyDescent="0.35">
      <c r="C148" t="str">
        <f>IFERROR(VLOOKUP($B148,'2. ITEM MASTER'!$A:$D,2,FALSE),"")</f>
        <v/>
      </c>
      <c r="D148" t="str">
        <f>IFERROR(VLOOKUP($B148,'2. ITEM MASTER'!$A:$D,3,FALSE),"")</f>
        <v/>
      </c>
    </row>
    <row r="149" spans="3:4" x14ac:dyDescent="0.35">
      <c r="C149" t="str">
        <f>IFERROR(VLOOKUP($B149,'2. ITEM MASTER'!$A:$D,2,FALSE),"")</f>
        <v/>
      </c>
      <c r="D149" t="str">
        <f>IFERROR(VLOOKUP($B149,'2. ITEM MASTER'!$A:$D,3,FALSE),"")</f>
        <v/>
      </c>
    </row>
    <row r="150" spans="3:4" x14ac:dyDescent="0.35">
      <c r="C150" t="str">
        <f>IFERROR(VLOOKUP($B150,'2. ITEM MASTER'!$A:$D,2,FALSE),"")</f>
        <v/>
      </c>
      <c r="D150" t="str">
        <f>IFERROR(VLOOKUP($B150,'2. ITEM MASTER'!$A:$D,3,FALSE),"")</f>
        <v/>
      </c>
    </row>
    <row r="151" spans="3:4" x14ac:dyDescent="0.35">
      <c r="C151" t="str">
        <f>IFERROR(VLOOKUP($B151,'2. ITEM MASTER'!$A:$D,2,FALSE),"")</f>
        <v/>
      </c>
      <c r="D151" t="str">
        <f>IFERROR(VLOOKUP($B151,'2. ITEM MASTER'!$A:$D,3,FALSE),"")</f>
        <v/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'2. ITEM MASTER'!$A$2:$A$1000</xm:f>
          </x14:formula1>
          <xm:sqref>B2:B151</xm:sqref>
        </x14:dataValidation>
        <x14:dataValidation type="list" allowBlank="1" xr:uid="{00000000-0002-0000-0300-000001000000}">
          <x14:formula1>
            <xm:f>'1. DASHBOARD'!$F$10:$F$50</xm:f>
          </x14:formula1>
          <xm:sqref>F2:F151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5"/>
  <sheetViews>
    <sheetView topLeftCell="A238" zoomScale="130" workbookViewId="0">
      <selection activeCell="F266" sqref="F266"/>
    </sheetView>
  </sheetViews>
  <sheetFormatPr defaultRowHeight="14.5" x14ac:dyDescent="0.35"/>
  <cols>
    <col min="1" max="1" width="17.90625" bestFit="1" customWidth="1"/>
    <col min="2" max="2" width="38.36328125" bestFit="1" customWidth="1"/>
    <col min="3" max="3" width="16.54296875" bestFit="1" customWidth="1"/>
    <col min="4" max="6" width="15" customWidth="1"/>
    <col min="7" max="7" width="50" customWidth="1"/>
  </cols>
  <sheetData>
    <row r="1" spans="1:7" x14ac:dyDescent="0.35">
      <c r="A1" t="s">
        <v>17</v>
      </c>
      <c r="B1" t="s">
        <v>18</v>
      </c>
      <c r="C1" t="s">
        <v>19</v>
      </c>
      <c r="D1" s="3" t="s">
        <v>558</v>
      </c>
      <c r="E1" s="3" t="s">
        <v>559</v>
      </c>
      <c r="F1" s="3" t="s">
        <v>560</v>
      </c>
      <c r="G1" t="s">
        <v>561</v>
      </c>
    </row>
    <row r="2" spans="1:7" x14ac:dyDescent="0.35">
      <c r="A2" t="str">
        <f>IF('2. ITEM MASTER'!A2="","",'2. ITEM MASTER'!A2)</f>
        <v>E-001</v>
      </c>
      <c r="B2" t="str">
        <f>IFERROR(VLOOKUP($A2,'2. ITEM MASTER'!$A:$D,2,FALSE),"")</f>
        <v>CWX-VALVE- 1 inch</v>
      </c>
      <c r="C2" t="str">
        <f>IFERROR(VLOOKUP($A2,'2. ITEM MASTER'!$A:$D,3,FALSE),"")</f>
        <v>Electronics</v>
      </c>
      <c r="D2" s="3">
        <f>IF($A2="","",SUMIF('3. STOCK IN'!$B:$B,$A2,'3. STOCK IN'!$E:$E))</f>
        <v>10</v>
      </c>
      <c r="E2" s="3">
        <f>IF($A2="","",SUMIF('4. STOCK OUT'!$B:$B,$A2,'4. STOCK OUT'!$E:$E))</f>
        <v>0</v>
      </c>
      <c r="F2" s="3">
        <f t="shared" ref="F2:F65" si="0">IF($A2="","",IFERROR($D2-$E2,0))</f>
        <v>10</v>
      </c>
      <c r="G2" t="str">
        <f>IF($A2="","",IFERROR(IF($F2&lt;=0,"OUT OF STOCK",IF($F2&lt;=VLOOKUP($A2,'2. ITEM MASTER'!$A:$D,4,FALSE),"LOW STOCK","OK")),""))</f>
        <v>OK</v>
      </c>
    </row>
    <row r="3" spans="1:7" x14ac:dyDescent="0.35">
      <c r="A3" t="str">
        <f>IF('2. ITEM MASTER'!A3="","",'2. ITEM MASTER'!A3)</f>
        <v>E-002</v>
      </c>
      <c r="B3" t="str">
        <f>IFERROR(VLOOKUP($A3,'2. ITEM MASTER'!$A:$D,2,FALSE),"")</f>
        <v>CWX -VALVE-0.5inch</v>
      </c>
      <c r="C3" t="str">
        <f>IFERROR(VLOOKUP($A3,'2. ITEM MASTER'!$A:$D,3,FALSE),"")</f>
        <v>Electronics</v>
      </c>
      <c r="D3" s="3">
        <f>IF($A3="","",SUMIF('3. STOCK IN'!$B:$B,$A3,'3. STOCK IN'!$E:$E))</f>
        <v>46</v>
      </c>
      <c r="E3" s="3">
        <f>IF($A3="","",SUMIF('4. STOCK OUT'!$B:$B,$A3,'4. STOCK OUT'!$E:$E))</f>
        <v>0</v>
      </c>
      <c r="F3" s="3">
        <f t="shared" si="0"/>
        <v>46</v>
      </c>
      <c r="G3" t="str">
        <f>IF($A3="","",IFERROR(IF($F3&lt;=0,"OUT OF STOCK",IF($F3&lt;=VLOOKUP($A3,'2. ITEM MASTER'!$A:$D,4,FALSE),"LOW STOCK","OK")),""))</f>
        <v>OK</v>
      </c>
    </row>
    <row r="4" spans="1:7" x14ac:dyDescent="0.35">
      <c r="A4" t="str">
        <f>IF('2. ITEM MASTER'!A4="","",'2. ITEM MASTER'!A4)</f>
        <v>E-003</v>
      </c>
      <c r="B4" t="str">
        <f>IFERROR(VLOOKUP($A4,'2. ITEM MASTER'!$A:$D,2,FALSE),"")</f>
        <v>STRIKE LOCK</v>
      </c>
      <c r="C4" t="str">
        <f>IFERROR(VLOOKUP($A4,'2. ITEM MASTER'!$A:$D,3,FALSE),"")</f>
        <v>Electronics</v>
      </c>
      <c r="D4" s="3">
        <f>IF($A4="","",SUMIF('3. STOCK IN'!$B:$B,$A4,'3. STOCK IN'!$E:$E))</f>
        <v>182</v>
      </c>
      <c r="E4" s="3">
        <f>IF($A4="","",SUMIF('4. STOCK OUT'!$B:$B,$A4,'4. STOCK OUT'!$E:$E))</f>
        <v>0</v>
      </c>
      <c r="F4" s="3">
        <f t="shared" si="0"/>
        <v>182</v>
      </c>
      <c r="G4" t="str">
        <f>IF($A4="","",IFERROR(IF($F4&lt;=0,"OUT OF STOCK",IF($F4&lt;=VLOOKUP($A4,'2. ITEM MASTER'!$A:$D,4,FALSE),"LOW STOCK","OK")),""))</f>
        <v>OK</v>
      </c>
    </row>
    <row r="5" spans="1:7" x14ac:dyDescent="0.35">
      <c r="A5" t="str">
        <f>IF('2. ITEM MASTER'!A5="","",'2. ITEM MASTER'!A5)</f>
        <v>E-004</v>
      </c>
      <c r="B5" t="str">
        <f>IFERROR(VLOOKUP($A5,'2. ITEM MASTER'!$A:$D,2,FALSE),"")</f>
        <v>COIN ACCEPTER</v>
      </c>
      <c r="C5" t="str">
        <f>IFERROR(VLOOKUP($A5,'2. ITEM MASTER'!$A:$D,3,FALSE),"")</f>
        <v>Electronics</v>
      </c>
      <c r="D5" s="3">
        <f>IF($A5="","",SUMIF('3. STOCK IN'!$B:$B,$A5,'3. STOCK IN'!$E:$E))</f>
        <v>13</v>
      </c>
      <c r="E5" s="3">
        <f>IF($A5="","",SUMIF('4. STOCK OUT'!$B:$B,$A5,'4. STOCK OUT'!$E:$E))</f>
        <v>0</v>
      </c>
      <c r="F5" s="3">
        <f t="shared" si="0"/>
        <v>13</v>
      </c>
      <c r="G5" t="str">
        <f>IF($A5="","",IFERROR(IF($F5&lt;=0,"OUT OF STOCK",IF($F5&lt;=VLOOKUP($A5,'2. ITEM MASTER'!$A:$D,4,FALSE),"LOW STOCK","OK")),""))</f>
        <v>OK</v>
      </c>
    </row>
    <row r="6" spans="1:7" x14ac:dyDescent="0.35">
      <c r="A6" t="str">
        <f>IF('2. ITEM MASTER'!A6="","",'2. ITEM MASTER'!A6)</f>
        <v>E-005</v>
      </c>
      <c r="B6" t="str">
        <f>IFERROR(VLOOKUP($A6,'2. ITEM MASTER'!$A:$D,2,FALSE),"")</f>
        <v>PIR SENSOR</v>
      </c>
      <c r="C6" t="str">
        <f>IFERROR(VLOOKUP($A6,'2. ITEM MASTER'!$A:$D,3,FALSE),"")</f>
        <v>Electronics</v>
      </c>
      <c r="D6" s="3">
        <f>IF($A6="","",SUMIF('3. STOCK IN'!$B:$B,$A6,'3. STOCK IN'!$E:$E))</f>
        <v>71</v>
      </c>
      <c r="E6" s="3">
        <f>IF($A6="","",SUMIF('4. STOCK OUT'!$B:$B,$A6,'4. STOCK OUT'!$E:$E))</f>
        <v>0</v>
      </c>
      <c r="F6" s="3">
        <f t="shared" si="0"/>
        <v>71</v>
      </c>
      <c r="G6" t="str">
        <f>IF($A6="","",IFERROR(IF($F6&lt;=0,"OUT OF STOCK",IF($F6&lt;=VLOOKUP($A6,'2. ITEM MASTER'!$A:$D,4,FALSE),"LOW STOCK","OK")),""))</f>
        <v>OK</v>
      </c>
    </row>
    <row r="7" spans="1:7" x14ac:dyDescent="0.35">
      <c r="A7" t="str">
        <f>IF('2. ITEM MASTER'!A7="","",'2. ITEM MASTER'!A7)</f>
        <v>E-006</v>
      </c>
      <c r="B7" t="str">
        <f>IFERROR(VLOOKUP($A7,'2. ITEM MASTER'!$A:$D,2,FALSE),"")</f>
        <v>LDR SENSOR</v>
      </c>
      <c r="C7" t="str">
        <f>IFERROR(VLOOKUP($A7,'2. ITEM MASTER'!$A:$D,3,FALSE),"")</f>
        <v>Electronics</v>
      </c>
      <c r="D7" s="3">
        <f>IF($A7="","",SUMIF('3. STOCK IN'!$B:$B,$A7,'3. STOCK IN'!$E:$E))</f>
        <v>74</v>
      </c>
      <c r="E7" s="3">
        <f>IF($A7="","",SUMIF('4. STOCK OUT'!$B:$B,$A7,'4. STOCK OUT'!$E:$E))</f>
        <v>0</v>
      </c>
      <c r="F7" s="3">
        <f t="shared" si="0"/>
        <v>74</v>
      </c>
      <c r="G7" t="str">
        <f>IF($A7="","",IFERROR(IF($F7&lt;=0,"OUT OF STOCK",IF($F7&lt;=VLOOKUP($A7,'2. ITEM MASTER'!$A:$D,4,FALSE),"LOW STOCK","OK")),""))</f>
        <v>OK</v>
      </c>
    </row>
    <row r="8" spans="1:7" x14ac:dyDescent="0.35">
      <c r="A8" t="str">
        <f>IF('2. ITEM MASTER'!A8="","",'2. ITEM MASTER'!A8)</f>
        <v>E-007</v>
      </c>
      <c r="B8" t="str">
        <f>IFERROR(VLOOKUP($A8,'2. ITEM MASTER'!$A:$D,2,FALSE),"")</f>
        <v>PUSH BOTTON</v>
      </c>
      <c r="C8" t="str">
        <f>IFERROR(VLOOKUP($A8,'2. ITEM MASTER'!$A:$D,3,FALSE),"")</f>
        <v>Electronics</v>
      </c>
      <c r="D8" s="3">
        <f>IF($A8="","",SUMIF('3. STOCK IN'!$B:$B,$A8,'3. STOCK IN'!$E:$E))</f>
        <v>86</v>
      </c>
      <c r="E8" s="3">
        <f>IF($A8="","",SUMIF('4. STOCK OUT'!$B:$B,$A8,'4. STOCK OUT'!$E:$E))</f>
        <v>0</v>
      </c>
      <c r="F8" s="3">
        <f t="shared" si="0"/>
        <v>86</v>
      </c>
      <c r="G8" t="str">
        <f>IF($A8="","",IFERROR(IF($F8&lt;=0,"OUT OF STOCK",IF($F8&lt;=VLOOKUP($A8,'2. ITEM MASTER'!$A:$D,4,FALSE),"LOW STOCK","OK")),""))</f>
        <v>OK</v>
      </c>
    </row>
    <row r="9" spans="1:7" x14ac:dyDescent="0.35">
      <c r="A9" t="str">
        <f>IF('2. ITEM MASTER'!A9="","",'2. ITEM MASTER'!A9)</f>
        <v>E-008</v>
      </c>
      <c r="B9" t="str">
        <f>IFERROR(VLOOKUP($A9,'2. ITEM MASTER'!$A:$D,2,FALSE),"")</f>
        <v>LIMIT SWITCH</v>
      </c>
      <c r="C9" t="str">
        <f>IFERROR(VLOOKUP($A9,'2. ITEM MASTER'!$A:$D,3,FALSE),"")</f>
        <v>Electronics</v>
      </c>
      <c r="D9" s="3">
        <f>IF($A9="","",SUMIF('3. STOCK IN'!$B:$B,$A9,'3. STOCK IN'!$E:$E))</f>
        <v>10</v>
      </c>
      <c r="E9" s="3">
        <f>IF($A9="","",SUMIF('4. STOCK OUT'!$B:$B,$A9,'4. STOCK OUT'!$E:$E))</f>
        <v>0</v>
      </c>
      <c r="F9" s="3">
        <f t="shared" si="0"/>
        <v>10</v>
      </c>
      <c r="G9" t="str">
        <f>IF($A9="","",IFERROR(IF($F9&lt;=0,"OUT OF STOCK",IF($F9&lt;=VLOOKUP($A9,'2. ITEM MASTER'!$A:$D,4,FALSE),"LOW STOCK","OK")),""))</f>
        <v>OK</v>
      </c>
    </row>
    <row r="10" spans="1:7" x14ac:dyDescent="0.35">
      <c r="A10" t="str">
        <f>IF('2. ITEM MASTER'!A10="","",'2. ITEM MASTER'!A10)</f>
        <v>E-009</v>
      </c>
      <c r="B10" t="str">
        <f>IFERROR(VLOOKUP($A10,'2. ITEM MASTER'!$A:$D,2,FALSE),"")</f>
        <v>FAN ORPAT</v>
      </c>
      <c r="C10" t="str">
        <f>IFERROR(VLOOKUP($A10,'2. ITEM MASTER'!$A:$D,3,FALSE),"")</f>
        <v>Electronics</v>
      </c>
      <c r="D10" s="3">
        <f>IF($A10="","",SUMIF('3. STOCK IN'!$B:$B,$A10,'3. STOCK IN'!$E:$E))</f>
        <v>10</v>
      </c>
      <c r="E10" s="3">
        <f>IF($A10="","",SUMIF('4. STOCK OUT'!$B:$B,$A10,'4. STOCK OUT'!$E:$E))</f>
        <v>0</v>
      </c>
      <c r="F10" s="3">
        <f t="shared" si="0"/>
        <v>10</v>
      </c>
      <c r="G10" t="str">
        <f>IF($A10="","",IFERROR(IF($F10&lt;=0,"OUT OF STOCK",IF($F10&lt;=VLOOKUP($A10,'2. ITEM MASTER'!$A:$D,4,FALSE),"LOW STOCK","OK")),""))</f>
        <v>OK</v>
      </c>
    </row>
    <row r="11" spans="1:7" x14ac:dyDescent="0.35">
      <c r="A11" t="str">
        <f>IF('2. ITEM MASTER'!A11="","",'2. ITEM MASTER'!A11)</f>
        <v>E-010</v>
      </c>
      <c r="B11" t="str">
        <f>IFERROR(VLOOKUP($A11,'2. ITEM MASTER'!$A:$D,2,FALSE),"")</f>
        <v>ELCB+MCB+32AMP</v>
      </c>
      <c r="C11" t="str">
        <f>IFERROR(VLOOKUP($A11,'2. ITEM MASTER'!$A:$D,3,FALSE),"")</f>
        <v>Electronics</v>
      </c>
      <c r="D11" s="3">
        <f>IF($A11="","",SUMIF('3. STOCK IN'!$B:$B,$A11,'3. STOCK IN'!$E:$E))</f>
        <v>32</v>
      </c>
      <c r="E11" s="3">
        <f>IF($A11="","",SUMIF('4. STOCK OUT'!$B:$B,$A11,'4. STOCK OUT'!$E:$E))</f>
        <v>0</v>
      </c>
      <c r="F11" s="3">
        <f t="shared" si="0"/>
        <v>32</v>
      </c>
      <c r="G11" t="str">
        <f>IF($A11="","",IFERROR(IF($F11&lt;=0,"OUT OF STOCK",IF($F11&lt;=VLOOKUP($A11,'2. ITEM MASTER'!$A:$D,4,FALSE),"LOW STOCK","OK")),""))</f>
        <v>OK</v>
      </c>
    </row>
    <row r="12" spans="1:7" x14ac:dyDescent="0.35">
      <c r="A12" t="str">
        <f>IF('2. ITEM MASTER'!A12="","",'2. ITEM MASTER'!A12)</f>
        <v>E-011</v>
      </c>
      <c r="B12" t="str">
        <f>IFERROR(VLOOKUP($A12,'2. ITEM MASTER'!$A:$D,2,FALSE),"")</f>
        <v>SMPS 12V</v>
      </c>
      <c r="C12" t="str">
        <f>IFERROR(VLOOKUP($A12,'2. ITEM MASTER'!$A:$D,3,FALSE),"")</f>
        <v>Electronics</v>
      </c>
      <c r="D12" s="3">
        <f>IF($A12="","",SUMIF('3. STOCK IN'!$B:$B,$A12,'3. STOCK IN'!$E:$E))</f>
        <v>121</v>
      </c>
      <c r="E12" s="3">
        <f>IF($A12="","",SUMIF('4. STOCK OUT'!$B:$B,$A12,'4. STOCK OUT'!$E:$E))</f>
        <v>0</v>
      </c>
      <c r="F12" s="3">
        <f t="shared" si="0"/>
        <v>121</v>
      </c>
      <c r="G12" t="str">
        <f>IF($A12="","",IFERROR(IF($F12&lt;=0,"OUT OF STOCK",IF($F12&lt;=VLOOKUP($A12,'2. ITEM MASTER'!$A:$D,4,FALSE),"LOW STOCK","OK")),""))</f>
        <v>OK</v>
      </c>
    </row>
    <row r="13" spans="1:7" x14ac:dyDescent="0.35">
      <c r="A13" t="str">
        <f>IF('2. ITEM MASTER'!A13="","",'2. ITEM MASTER'!A13)</f>
        <v>E-012</v>
      </c>
      <c r="B13" t="str">
        <f>IFERROR(VLOOKUP($A13,'2. ITEM MASTER'!$A:$D,2,FALSE),"")</f>
        <v>BATTERY 12V 26A</v>
      </c>
      <c r="C13" t="str">
        <f>IFERROR(VLOOKUP($A13,'2. ITEM MASTER'!$A:$D,3,FALSE),"")</f>
        <v>Electronics</v>
      </c>
      <c r="D13" s="3">
        <f>IF($A13="","",SUMIF('3. STOCK IN'!$B:$B,$A13,'3. STOCK IN'!$E:$E))</f>
        <v>9</v>
      </c>
      <c r="E13" s="3">
        <f>IF($A13="","",SUMIF('4. STOCK OUT'!$B:$B,$A13,'4. STOCK OUT'!$E:$E))</f>
        <v>0</v>
      </c>
      <c r="F13" s="3">
        <f t="shared" si="0"/>
        <v>9</v>
      </c>
      <c r="G13" t="str">
        <f>IF($A13="","",IFERROR(IF($F13&lt;=0,"OUT OF STOCK",IF($F13&lt;=VLOOKUP($A13,'2. ITEM MASTER'!$A:$D,4,FALSE),"LOW STOCK","OK")),""))</f>
        <v>OK</v>
      </c>
    </row>
    <row r="14" spans="1:7" x14ac:dyDescent="0.35">
      <c r="A14" t="str">
        <f>IF('2. ITEM MASTER'!A14="","",'2. ITEM MASTER'!A14)</f>
        <v>E-013</v>
      </c>
      <c r="B14" t="str">
        <f>IFERROR(VLOOKUP($A14,'2. ITEM MASTER'!$A:$D,2,FALSE),"")</f>
        <v>UPS V GUARD</v>
      </c>
      <c r="C14" t="str">
        <f>IFERROR(VLOOKUP($A14,'2. ITEM MASTER'!$A:$D,3,FALSE),"")</f>
        <v>Electronics</v>
      </c>
      <c r="D14" s="3">
        <f>IF($A14="","",SUMIF('3. STOCK IN'!$B:$B,$A14,'3. STOCK IN'!$E:$E))</f>
        <v>8</v>
      </c>
      <c r="E14" s="3">
        <f>IF($A14="","",SUMIF('4. STOCK OUT'!$B:$B,$A14,'4. STOCK OUT'!$E:$E))</f>
        <v>0</v>
      </c>
      <c r="F14" s="3">
        <f t="shared" si="0"/>
        <v>8</v>
      </c>
      <c r="G14" t="str">
        <f>IF($A14="","",IFERROR(IF($F14&lt;=0,"OUT OF STOCK",IF($F14&lt;=VLOOKUP($A14,'2. ITEM MASTER'!$A:$D,4,FALSE),"LOW STOCK","OK")),""))</f>
        <v>OK</v>
      </c>
    </row>
    <row r="15" spans="1:7" x14ac:dyDescent="0.35">
      <c r="A15" t="str">
        <f>IF('2. ITEM MASTER'!A15="","",'2. ITEM MASTER'!A15)</f>
        <v>E-014</v>
      </c>
      <c r="B15" t="str">
        <f>IFERROR(VLOOKUP($A15,'2. ITEM MASTER'!$A:$D,2,FALSE),"")</f>
        <v>BAZZER</v>
      </c>
      <c r="C15" t="str">
        <f>IFERROR(VLOOKUP($A15,'2. ITEM MASTER'!$A:$D,3,FALSE),"")</f>
        <v>Electronics</v>
      </c>
      <c r="D15" s="3">
        <f>IF($A15="","",SUMIF('3. STOCK IN'!$B:$B,$A15,'3. STOCK IN'!$E:$E))</f>
        <v>19</v>
      </c>
      <c r="E15" s="3">
        <f>IF($A15="","",SUMIF('4. STOCK OUT'!$B:$B,$A15,'4. STOCK OUT'!$E:$E))</f>
        <v>0</v>
      </c>
      <c r="F15" s="3">
        <f t="shared" si="0"/>
        <v>19</v>
      </c>
      <c r="G15" t="str">
        <f>IF($A15="","",IFERROR(IF($F15&lt;=0,"OUT OF STOCK",IF($F15&lt;=VLOOKUP($A15,'2. ITEM MASTER'!$A:$D,4,FALSE),"LOW STOCK","OK")),""))</f>
        <v>OK</v>
      </c>
    </row>
    <row r="16" spans="1:7" x14ac:dyDescent="0.35">
      <c r="A16" t="str">
        <f>IF('2. ITEM MASTER'!A16="","",'2. ITEM MASTER'!A16)</f>
        <v>E-015</v>
      </c>
      <c r="B16" t="str">
        <f>IFERROR(VLOOKUP($A16,'2. ITEM MASTER'!$A:$D,2,FALSE),"")</f>
        <v>LIMIT SWITCH SMALL</v>
      </c>
      <c r="C16" t="str">
        <f>IFERROR(VLOOKUP($A16,'2. ITEM MASTER'!$A:$D,3,FALSE),"")</f>
        <v>Electronics</v>
      </c>
      <c r="D16" s="3">
        <f>IF($A16="","",SUMIF('3. STOCK IN'!$B:$B,$A16,'3. STOCK IN'!$E:$E))</f>
        <v>17</v>
      </c>
      <c r="E16" s="3">
        <f>IF($A16="","",SUMIF('4. STOCK OUT'!$B:$B,$A16,'4. STOCK OUT'!$E:$E))</f>
        <v>0</v>
      </c>
      <c r="F16" s="3">
        <f t="shared" si="0"/>
        <v>17</v>
      </c>
      <c r="G16" t="str">
        <f>IF($A16="","",IFERROR(IF($F16&lt;=0,"OUT OF STOCK",IF($F16&lt;=VLOOKUP($A16,'2. ITEM MASTER'!$A:$D,4,FALSE),"LOW STOCK","OK")),""))</f>
        <v>OK</v>
      </c>
    </row>
    <row r="17" spans="1:7" x14ac:dyDescent="0.35">
      <c r="A17" t="str">
        <f>IF('2. ITEM MASTER'!A17="","",'2. ITEM MASTER'!A17)</f>
        <v>E-016</v>
      </c>
      <c r="B17" t="str">
        <f>IFERROR(VLOOKUP($A17,'2. ITEM MASTER'!$A:$D,2,FALSE),"")</f>
        <v>PRESSURE PUMP</v>
      </c>
      <c r="C17" t="str">
        <f>IFERROR(VLOOKUP($A17,'2. ITEM MASTER'!$A:$D,3,FALSE),"")</f>
        <v>Electronics</v>
      </c>
      <c r="D17" s="3">
        <f>IF($A17="","",SUMIF('3. STOCK IN'!$B:$B,$A17,'3. STOCK IN'!$E:$E))</f>
        <v>1</v>
      </c>
      <c r="E17" s="3">
        <f>IF($A17="","",SUMIF('4. STOCK OUT'!$B:$B,$A17,'4. STOCK OUT'!$E:$E))</f>
        <v>0</v>
      </c>
      <c r="F17" s="3">
        <f t="shared" si="0"/>
        <v>1</v>
      </c>
      <c r="G17" t="str">
        <f>IF($A17="","",IFERROR(IF($F17&lt;=0,"OUT OF STOCK",IF($F17&lt;=VLOOKUP($A17,'2. ITEM MASTER'!$A:$D,4,FALSE),"LOW STOCK","OK")),""))</f>
        <v>LOW STOCK</v>
      </c>
    </row>
    <row r="18" spans="1:7" x14ac:dyDescent="0.35">
      <c r="A18" t="str">
        <f>IF('2. ITEM MASTER'!A18="","",'2. ITEM MASTER'!A18)</f>
        <v>E-017</v>
      </c>
      <c r="B18" t="str">
        <f>IFERROR(VLOOKUP($A18,'2. ITEM MASTER'!$A:$D,2,FALSE),"")</f>
        <v>LIGHT 3W (ROUND)</v>
      </c>
      <c r="C18" t="str">
        <f>IFERROR(VLOOKUP($A18,'2. ITEM MASTER'!$A:$D,3,FALSE),"")</f>
        <v>Electronics</v>
      </c>
      <c r="D18" s="3">
        <f>IF($A18="","",SUMIF('3. STOCK IN'!$B:$B,$A18,'3. STOCK IN'!$E:$E))</f>
        <v>32</v>
      </c>
      <c r="E18" s="3">
        <f>IF($A18="","",SUMIF('4. STOCK OUT'!$B:$B,$A18,'4. STOCK OUT'!$E:$E))</f>
        <v>0</v>
      </c>
      <c r="F18" s="3">
        <f t="shared" si="0"/>
        <v>32</v>
      </c>
      <c r="G18" t="str">
        <f>IF($A18="","",IFERROR(IF($F18&lt;=0,"OUT OF STOCK",IF($F18&lt;=VLOOKUP($A18,'2. ITEM MASTER'!$A:$D,4,FALSE),"LOW STOCK","OK")),""))</f>
        <v>OK</v>
      </c>
    </row>
    <row r="19" spans="1:7" x14ac:dyDescent="0.35">
      <c r="A19" t="str">
        <f>IF('2. ITEM MASTER'!A19="","",'2. ITEM MASTER'!A19)</f>
        <v>E-018</v>
      </c>
      <c r="B19" t="str">
        <f>IFERROR(VLOOKUP($A19,'2. ITEM MASTER'!$A:$D,2,FALSE),"")</f>
        <v>LIGHT 2W GREEN</v>
      </c>
      <c r="C19" t="str">
        <f>IFERROR(VLOOKUP($A19,'2. ITEM MASTER'!$A:$D,3,FALSE),"")</f>
        <v>Electronics</v>
      </c>
      <c r="D19" s="3">
        <f>IF($A19="","",SUMIF('3. STOCK IN'!$B:$B,$A19,'3. STOCK IN'!$E:$E))</f>
        <v>38</v>
      </c>
      <c r="E19" s="3">
        <f>IF($A19="","",SUMIF('4. STOCK OUT'!$B:$B,$A19,'4. STOCK OUT'!$E:$E))</f>
        <v>0</v>
      </c>
      <c r="F19" s="3">
        <f t="shared" si="0"/>
        <v>38</v>
      </c>
      <c r="G19" t="str">
        <f>IF($A19="","",IFERROR(IF($F19&lt;=0,"OUT OF STOCK",IF($F19&lt;=VLOOKUP($A19,'2. ITEM MASTER'!$A:$D,4,FALSE),"LOW STOCK","OK")),""))</f>
        <v>OK</v>
      </c>
    </row>
    <row r="20" spans="1:7" x14ac:dyDescent="0.35">
      <c r="A20" t="str">
        <f>IF('2. ITEM MASTER'!A20="","",'2. ITEM MASTER'!A20)</f>
        <v>E-019</v>
      </c>
      <c r="B20" t="str">
        <f>IFERROR(VLOOKUP($A20,'2. ITEM MASTER'!$A:$D,2,FALSE),"")</f>
        <v>LIGHT 2W RED</v>
      </c>
      <c r="C20" t="str">
        <f>IFERROR(VLOOKUP($A20,'2. ITEM MASTER'!$A:$D,3,FALSE),"")</f>
        <v>Electronics</v>
      </c>
      <c r="D20" s="3">
        <f>IF($A20="","",SUMIF('3. STOCK IN'!$B:$B,$A20,'3. STOCK IN'!$E:$E))</f>
        <v>46</v>
      </c>
      <c r="E20" s="3">
        <f>IF($A20="","",SUMIF('4. STOCK OUT'!$B:$B,$A20,'4. STOCK OUT'!$E:$E))</f>
        <v>0</v>
      </c>
      <c r="F20" s="3">
        <f t="shared" si="0"/>
        <v>46</v>
      </c>
      <c r="G20" t="str">
        <f>IF($A20="","",IFERROR(IF($F20&lt;=0,"OUT OF STOCK",IF($F20&lt;=VLOOKUP($A20,'2. ITEM MASTER'!$A:$D,4,FALSE),"LOW STOCK","OK")),""))</f>
        <v>OK</v>
      </c>
    </row>
    <row r="21" spans="1:7" x14ac:dyDescent="0.35">
      <c r="A21" t="str">
        <f>IF('2. ITEM MASTER'!A21="","",'2. ITEM MASTER'!A21)</f>
        <v>E-020</v>
      </c>
      <c r="B21" t="str">
        <f>IFERROR(VLOOKUP($A21,'2. ITEM MASTER'!$A:$D,2,FALSE),"")</f>
        <v>TOP PLUG 6 A</v>
      </c>
      <c r="C21" t="str">
        <f>IFERROR(VLOOKUP($A21,'2. ITEM MASTER'!$A:$D,3,FALSE),"")</f>
        <v>Electronics</v>
      </c>
      <c r="D21" s="3">
        <f>IF($A21="","",SUMIF('3. STOCK IN'!$B:$B,$A21,'3. STOCK IN'!$E:$E))</f>
        <v>38</v>
      </c>
      <c r="E21" s="3">
        <f>IF($A21="","",SUMIF('4. STOCK OUT'!$B:$B,$A21,'4. STOCK OUT'!$E:$E))</f>
        <v>0</v>
      </c>
      <c r="F21" s="3">
        <f t="shared" si="0"/>
        <v>38</v>
      </c>
      <c r="G21" t="str">
        <f>IF($A21="","",IFERROR(IF($F21&lt;=0,"OUT OF STOCK",IF($F21&lt;=VLOOKUP($A21,'2. ITEM MASTER'!$A:$D,4,FALSE),"LOW STOCK","OK")),""))</f>
        <v>OK</v>
      </c>
    </row>
    <row r="22" spans="1:7" x14ac:dyDescent="0.35">
      <c r="A22" t="str">
        <f>IF('2. ITEM MASTER'!A22="","",'2. ITEM MASTER'!A22)</f>
        <v>E-021</v>
      </c>
      <c r="B22" t="str">
        <f>IFERROR(VLOOKUP($A22,'2. ITEM MASTER'!$A:$D,2,FALSE),"")</f>
        <v>TOP PLUG 16A</v>
      </c>
      <c r="C22" t="str">
        <f>IFERROR(VLOOKUP($A22,'2. ITEM MASTER'!$A:$D,3,FALSE),"")</f>
        <v>Electronics</v>
      </c>
      <c r="D22" s="3">
        <f>IF($A22="","",SUMIF('3. STOCK IN'!$B:$B,$A22,'3. STOCK IN'!$E:$E))</f>
        <v>60</v>
      </c>
      <c r="E22" s="3">
        <f>IF($A22="","",SUMIF('4. STOCK OUT'!$B:$B,$A22,'4. STOCK OUT'!$E:$E))</f>
        <v>0</v>
      </c>
      <c r="F22" s="3">
        <f t="shared" si="0"/>
        <v>60</v>
      </c>
      <c r="G22" t="str">
        <f>IF($A22="","",IFERROR(IF($F22&lt;=0,"OUT OF STOCK",IF($F22&lt;=VLOOKUP($A22,'2. ITEM MASTER'!$A:$D,4,FALSE),"LOW STOCK","OK")),""))</f>
        <v>OK</v>
      </c>
    </row>
    <row r="23" spans="1:7" x14ac:dyDescent="0.35">
      <c r="A23" t="str">
        <f>IF('2. ITEM MASTER'!A23="","",'2. ITEM MASTER'!A23)</f>
        <v>E-022</v>
      </c>
      <c r="B23" t="str">
        <f>IFERROR(VLOOKUP($A23,'2. ITEM MASTER'!$A:$D,2,FALSE),"")</f>
        <v>SWITCH 6A</v>
      </c>
      <c r="C23" t="str">
        <f>IFERROR(VLOOKUP($A23,'2. ITEM MASTER'!$A:$D,3,FALSE),"")</f>
        <v>Electronics</v>
      </c>
      <c r="D23" s="3">
        <f>IF($A23="","",SUMIF('3. STOCK IN'!$B:$B,$A23,'3. STOCK IN'!$E:$E))</f>
        <v>31</v>
      </c>
      <c r="E23" s="3">
        <f>IF($A23="","",SUMIF('4. STOCK OUT'!$B:$B,$A23,'4. STOCK OUT'!$E:$E))</f>
        <v>0</v>
      </c>
      <c r="F23" s="3">
        <f t="shared" si="0"/>
        <v>31</v>
      </c>
      <c r="G23" t="str">
        <f>IF($A23="","",IFERROR(IF($F23&lt;=0,"OUT OF STOCK",IF($F23&lt;=VLOOKUP($A23,'2. ITEM MASTER'!$A:$D,4,FALSE),"LOW STOCK","OK")),""))</f>
        <v>OK</v>
      </c>
    </row>
    <row r="24" spans="1:7" x14ac:dyDescent="0.35">
      <c r="A24" t="str">
        <f>IF('2. ITEM MASTER'!A24="","",'2. ITEM MASTER'!A24)</f>
        <v>E-023</v>
      </c>
      <c r="B24" t="str">
        <f>IFERROR(VLOOKUP($A24,'2. ITEM MASTER'!$A:$D,2,FALSE),"")</f>
        <v>SOCKET 6A 3PIN</v>
      </c>
      <c r="C24" t="str">
        <f>IFERROR(VLOOKUP($A24,'2. ITEM MASTER'!$A:$D,3,FALSE),"")</f>
        <v>Electronics</v>
      </c>
      <c r="D24" s="3">
        <f>IF($A24="","",SUMIF('3. STOCK IN'!$B:$B,$A24,'3. STOCK IN'!$E:$E))</f>
        <v>28</v>
      </c>
      <c r="E24" s="3">
        <f>IF($A24="","",SUMIF('4. STOCK OUT'!$B:$B,$A24,'4. STOCK OUT'!$E:$E))</f>
        <v>0</v>
      </c>
      <c r="F24" s="3">
        <f t="shared" si="0"/>
        <v>28</v>
      </c>
      <c r="G24" t="str">
        <f>IF($A24="","",IFERROR(IF($F24&lt;=0,"OUT OF STOCK",IF($F24&lt;=VLOOKUP($A24,'2. ITEM MASTER'!$A:$D,4,FALSE),"LOW STOCK","OK")),""))</f>
        <v>OK</v>
      </c>
    </row>
    <row r="25" spans="1:7" x14ac:dyDescent="0.35">
      <c r="A25" t="str">
        <f>IF('2. ITEM MASTER'!A25="","",'2. ITEM MASTER'!A25)</f>
        <v>E-024</v>
      </c>
      <c r="B25" t="str">
        <f>IFERROR(VLOOKUP($A25,'2. ITEM MASTER'!$A:$D,2,FALSE),"")</f>
        <v>BOX 3M WITH PLATE</v>
      </c>
      <c r="C25" t="str">
        <f>IFERROR(VLOOKUP($A25,'2. ITEM MASTER'!$A:$D,3,FALSE),"")</f>
        <v>Electronics</v>
      </c>
      <c r="D25" s="3">
        <f>IF($A25="","",SUMIF('3. STOCK IN'!$B:$B,$A25,'3. STOCK IN'!$E:$E))</f>
        <v>31</v>
      </c>
      <c r="E25" s="3">
        <f>IF($A25="","",SUMIF('4. STOCK OUT'!$B:$B,$A25,'4. STOCK OUT'!$E:$E))</f>
        <v>0</v>
      </c>
      <c r="F25" s="3">
        <f t="shared" si="0"/>
        <v>31</v>
      </c>
      <c r="G25" t="str">
        <f>IF($A25="","",IFERROR(IF($F25&lt;=0,"OUT OF STOCK",IF($F25&lt;=VLOOKUP($A25,'2. ITEM MASTER'!$A:$D,4,FALSE),"LOW STOCK","OK")),""))</f>
        <v>OK</v>
      </c>
    </row>
    <row r="26" spans="1:7" x14ac:dyDescent="0.35">
      <c r="A26" t="str">
        <f>IF('2. ITEM MASTER'!A26="","",'2. ITEM MASTER'!A26)</f>
        <v>E-025</v>
      </c>
      <c r="B26" t="str">
        <f>IFERROR(VLOOKUP($A26,'2. ITEM MASTER'!$A:$D,2,FALSE),"")</f>
        <v>GSM ANTENA</v>
      </c>
      <c r="C26" t="str">
        <f>IFERROR(VLOOKUP($A26,'2. ITEM MASTER'!$A:$D,3,FALSE),"")</f>
        <v>Electronics</v>
      </c>
      <c r="D26" s="3">
        <f>IF($A26="","",SUMIF('3. STOCK IN'!$B:$B,$A26,'3. STOCK IN'!$E:$E))</f>
        <v>0</v>
      </c>
      <c r="E26" s="3">
        <f>IF($A26="","",SUMIF('4. STOCK OUT'!$B:$B,$A26,'4. STOCK OUT'!$E:$E))</f>
        <v>0</v>
      </c>
      <c r="F26" s="3">
        <f t="shared" si="0"/>
        <v>0</v>
      </c>
      <c r="G26" t="str">
        <f>IF($A26="","",IFERROR(IF($F26&lt;=0,"OUT OF STOCK",IF($F26&lt;=VLOOKUP($A26,'2. ITEM MASTER'!$A:$D,4,FALSE),"LOW STOCK","OK")),""))</f>
        <v>OUT OF STOCK</v>
      </c>
    </row>
    <row r="27" spans="1:7" x14ac:dyDescent="0.35">
      <c r="A27" t="str">
        <f>IF('2. ITEM MASTER'!A27="","",'2. ITEM MASTER'!A27)</f>
        <v>E-026</v>
      </c>
      <c r="B27" t="str">
        <f>IFERROR(VLOOKUP($A27,'2. ITEM MASTER'!$A:$D,2,FALSE),"")</f>
        <v>PCB</v>
      </c>
      <c r="C27" t="str">
        <f>IFERROR(VLOOKUP($A27,'2. ITEM MASTER'!$A:$D,3,FALSE),"")</f>
        <v>Electronics</v>
      </c>
      <c r="D27" s="3">
        <f>IF($A27="","",SUMIF('3. STOCK IN'!$B:$B,$A27,'3. STOCK IN'!$E:$E))</f>
        <v>0</v>
      </c>
      <c r="E27" s="3">
        <f>IF($A27="","",SUMIF('4. STOCK OUT'!$B:$B,$A27,'4. STOCK OUT'!$E:$E))</f>
        <v>0</v>
      </c>
      <c r="F27" s="3">
        <f t="shared" si="0"/>
        <v>0</v>
      </c>
      <c r="G27" t="str">
        <f>IF($A27="","",IFERROR(IF($F27&lt;=0,"OUT OF STOCK",IF($F27&lt;=VLOOKUP($A27,'2. ITEM MASTER'!$A:$D,4,FALSE),"LOW STOCK","OK")),""))</f>
        <v>OUT OF STOCK</v>
      </c>
    </row>
    <row r="28" spans="1:7" x14ac:dyDescent="0.35">
      <c r="A28" t="str">
        <f>IF('2. ITEM MASTER'!A28="","",'2. ITEM MASTER'!A28)</f>
        <v>E-027</v>
      </c>
      <c r="B28" t="str">
        <f>IFERROR(VLOOKUP($A28,'2. ITEM MASTER'!$A:$D,2,FALSE),"")</f>
        <v>LCD</v>
      </c>
      <c r="C28" t="str">
        <f>IFERROR(VLOOKUP($A28,'2. ITEM MASTER'!$A:$D,3,FALSE),"")</f>
        <v>Electronics</v>
      </c>
      <c r="D28" s="3">
        <f>IF($A28="","",SUMIF('3. STOCK IN'!$B:$B,$A28,'3. STOCK IN'!$E:$E))</f>
        <v>0</v>
      </c>
      <c r="E28" s="3">
        <f>IF($A28="","",SUMIF('4. STOCK OUT'!$B:$B,$A28,'4. STOCK OUT'!$E:$E))</f>
        <v>0</v>
      </c>
      <c r="F28" s="3">
        <f t="shared" si="0"/>
        <v>0</v>
      </c>
      <c r="G28" t="str">
        <f>IF($A28="","",IFERROR(IF($F28&lt;=0,"OUT OF STOCK",IF($F28&lt;=VLOOKUP($A28,'2. ITEM MASTER'!$A:$D,4,FALSE),"LOW STOCK","OK")),""))</f>
        <v>OUT OF STOCK</v>
      </c>
    </row>
    <row r="29" spans="1:7" x14ac:dyDescent="0.35">
      <c r="A29" t="str">
        <f>IF('2. ITEM MASTER'!A29="","",'2. ITEM MASTER'!A29)</f>
        <v>E-028</v>
      </c>
      <c r="B29" t="str">
        <f>IFERROR(VLOOKUP($A29,'2. ITEM MASTER'!$A:$D,2,FALSE),"")</f>
        <v>EARTHING PATE</v>
      </c>
      <c r="C29" t="str">
        <f>IFERROR(VLOOKUP($A29,'2. ITEM MASTER'!$A:$D,3,FALSE),"")</f>
        <v>Electronics</v>
      </c>
      <c r="D29" s="3">
        <f>IF($A29="","",SUMIF('3. STOCK IN'!$B:$B,$A29,'3. STOCK IN'!$E:$E))</f>
        <v>19</v>
      </c>
      <c r="E29" s="3">
        <f>IF($A29="","",SUMIF('4. STOCK OUT'!$B:$B,$A29,'4. STOCK OUT'!$E:$E))</f>
        <v>0</v>
      </c>
      <c r="F29" s="3">
        <f t="shared" si="0"/>
        <v>19</v>
      </c>
      <c r="G29" t="str">
        <f>IF($A29="","",IFERROR(IF($F29&lt;=0,"OUT OF STOCK",IF($F29&lt;=VLOOKUP($A29,'2. ITEM MASTER'!$A:$D,4,FALSE),"LOW STOCK","OK")),""))</f>
        <v>OK</v>
      </c>
    </row>
    <row r="30" spans="1:7" x14ac:dyDescent="0.35">
      <c r="A30" t="str">
        <f>IF('2. ITEM MASTER'!A30="","",'2. ITEM MASTER'!A30)</f>
        <v>E-029</v>
      </c>
      <c r="B30" t="str">
        <f>IFERROR(VLOOKUP($A30,'2. ITEM MASTER'!$A:$D,2,FALSE),"")</f>
        <v>EARTING WIRE</v>
      </c>
      <c r="C30" t="str">
        <f>IFERROR(VLOOKUP($A30,'2. ITEM MASTER'!$A:$D,3,FALSE),"")</f>
        <v>Electronics</v>
      </c>
      <c r="D30" s="3">
        <f>IF($A30="","",SUMIF('3. STOCK IN'!$B:$B,$A30,'3. STOCK IN'!$E:$E))</f>
        <v>2</v>
      </c>
      <c r="E30" s="3">
        <f>IF($A30="","",SUMIF('4. STOCK OUT'!$B:$B,$A30,'4. STOCK OUT'!$E:$E))</f>
        <v>0</v>
      </c>
      <c r="F30" s="3">
        <f t="shared" si="0"/>
        <v>2</v>
      </c>
      <c r="G30" t="str">
        <f>IF($A30="","",IFERROR(IF($F30&lt;=0,"OUT OF STOCK",IF($F30&lt;=VLOOKUP($A30,'2. ITEM MASTER'!$A:$D,4,FALSE),"LOW STOCK","OK")),""))</f>
        <v>LOW STOCK</v>
      </c>
    </row>
    <row r="31" spans="1:7" x14ac:dyDescent="0.35">
      <c r="A31" t="str">
        <f>IF('2. ITEM MASTER'!A31="","",'2. ITEM MASTER'!A31)</f>
        <v>E-030</v>
      </c>
      <c r="B31" t="str">
        <f>IFERROR(VLOOKUP($A31,'2. ITEM MASTER'!$A:$D,2,FALSE),"")</f>
        <v>EARTHING POWDER</v>
      </c>
      <c r="C31" t="str">
        <f>IFERROR(VLOOKUP($A31,'2. ITEM MASTER'!$A:$D,3,FALSE),"")</f>
        <v>Electronics</v>
      </c>
      <c r="D31" s="3">
        <f>IF($A31="","",SUMIF('3. STOCK IN'!$B:$B,$A31,'3. STOCK IN'!$E:$E))</f>
        <v>0</v>
      </c>
      <c r="E31" s="3">
        <f>IF($A31="","",SUMIF('4. STOCK OUT'!$B:$B,$A31,'4. STOCK OUT'!$E:$E))</f>
        <v>0</v>
      </c>
      <c r="F31" s="3">
        <f t="shared" si="0"/>
        <v>0</v>
      </c>
      <c r="G31" t="str">
        <f>IF($A31="","",IFERROR(IF($F31&lt;=0,"OUT OF STOCK",IF($F31&lt;=VLOOKUP($A31,'2. ITEM MASTER'!$A:$D,4,FALSE),"LOW STOCK","OK")),""))</f>
        <v>OUT OF STOCK</v>
      </c>
    </row>
    <row r="32" spans="1:7" x14ac:dyDescent="0.35">
      <c r="A32" t="str">
        <f>IF('2. ITEM MASTER'!A32="","",'2. ITEM MASTER'!A32)</f>
        <v>E-031</v>
      </c>
      <c r="B32" t="str">
        <f>IFERROR(VLOOKUP($A32,'2. ITEM MASTER'!$A:$D,2,FALSE),"")</f>
        <v>MCB 4POLE 20A</v>
      </c>
      <c r="C32" t="str">
        <f>IFERROR(VLOOKUP($A32,'2. ITEM MASTER'!$A:$D,3,FALSE),"")</f>
        <v>Electronics</v>
      </c>
      <c r="D32" s="3">
        <f>IF($A32="","",SUMIF('3. STOCK IN'!$B:$B,$A32,'3. STOCK IN'!$E:$E))</f>
        <v>20</v>
      </c>
      <c r="E32" s="3">
        <f>IF($A32="","",SUMIF('4. STOCK OUT'!$B:$B,$A32,'4. STOCK OUT'!$E:$E))</f>
        <v>0</v>
      </c>
      <c r="F32" s="3">
        <f t="shared" si="0"/>
        <v>20</v>
      </c>
      <c r="G32" t="str">
        <f>IF($A32="","",IFERROR(IF($F32&lt;=0,"OUT OF STOCK",IF($F32&lt;=VLOOKUP($A32,'2. ITEM MASTER'!$A:$D,4,FALSE),"LOW STOCK","OK")),""))</f>
        <v>OK</v>
      </c>
    </row>
    <row r="33" spans="1:7" x14ac:dyDescent="0.35">
      <c r="A33" t="str">
        <f>IF('2. ITEM MASTER'!A33="","",'2. ITEM MASTER'!A33)</f>
        <v>E-032</v>
      </c>
      <c r="B33" t="str">
        <f>IFERROR(VLOOKUP($A33,'2. ITEM MASTER'!$A:$D,2,FALSE),"")</f>
        <v>MCB 4 POLE 32A</v>
      </c>
      <c r="C33" t="str">
        <f>IFERROR(VLOOKUP($A33,'2. ITEM MASTER'!$A:$D,3,FALSE),"")</f>
        <v>Electronics</v>
      </c>
      <c r="D33" s="3">
        <f>IF($A33="","",SUMIF('3. STOCK IN'!$B:$B,$A33,'3. STOCK IN'!$E:$E))</f>
        <v>4</v>
      </c>
      <c r="E33" s="3">
        <f>IF($A33="","",SUMIF('4. STOCK OUT'!$B:$B,$A33,'4. STOCK OUT'!$E:$E))</f>
        <v>0</v>
      </c>
      <c r="F33" s="3">
        <f t="shared" si="0"/>
        <v>4</v>
      </c>
      <c r="G33" t="str">
        <f>IF($A33="","",IFERROR(IF($F33&lt;=0,"OUT OF STOCK",IF($F33&lt;=VLOOKUP($A33,'2. ITEM MASTER'!$A:$D,4,FALSE),"LOW STOCK","OK")),""))</f>
        <v>LOW STOCK</v>
      </c>
    </row>
    <row r="34" spans="1:7" x14ac:dyDescent="0.35">
      <c r="A34" t="str">
        <f>IF('2. ITEM MASTER'!A34="","",'2. ITEM MASTER'!A34)</f>
        <v>E-033</v>
      </c>
      <c r="B34" t="str">
        <f>IFERROR(VLOOKUP($A34,'2. ITEM MASTER'!$A:$D,2,FALSE),"")</f>
        <v>MCB 3POLE 20A</v>
      </c>
      <c r="C34" t="str">
        <f>IFERROR(VLOOKUP($A34,'2. ITEM MASTER'!$A:$D,3,FALSE),"")</f>
        <v>Electronics</v>
      </c>
      <c r="D34" s="3">
        <f>IF($A34="","",SUMIF('3. STOCK IN'!$B:$B,$A34,'3. STOCK IN'!$E:$E))</f>
        <v>23</v>
      </c>
      <c r="E34" s="3">
        <f>IF($A34="","",SUMIF('4. STOCK OUT'!$B:$B,$A34,'4. STOCK OUT'!$E:$E))</f>
        <v>0</v>
      </c>
      <c r="F34" s="3">
        <f t="shared" si="0"/>
        <v>23</v>
      </c>
      <c r="G34" t="str">
        <f>IF($A34="","",IFERROR(IF($F34&lt;=0,"OUT OF STOCK",IF($F34&lt;=VLOOKUP($A34,'2. ITEM MASTER'!$A:$D,4,FALSE),"LOW STOCK","OK")),""))</f>
        <v>OK</v>
      </c>
    </row>
    <row r="35" spans="1:7" x14ac:dyDescent="0.35">
      <c r="A35" t="str">
        <f>IF('2. ITEM MASTER'!A35="","",'2. ITEM MASTER'!A35)</f>
        <v>E-034</v>
      </c>
      <c r="B35" t="str">
        <f>IFERROR(VLOOKUP($A35,'2. ITEM MASTER'!$A:$D,2,FALSE),"")</f>
        <v>MCB 1 POLE 16A</v>
      </c>
      <c r="C35" t="str">
        <f>IFERROR(VLOOKUP($A35,'2. ITEM MASTER'!$A:$D,3,FALSE),"")</f>
        <v>Electronics</v>
      </c>
      <c r="D35" s="3">
        <f>IF($A35="","",SUMIF('3. STOCK IN'!$B:$B,$A35,'3. STOCK IN'!$E:$E))</f>
        <v>2</v>
      </c>
      <c r="E35" s="3">
        <f>IF($A35="","",SUMIF('4. STOCK OUT'!$B:$B,$A35,'4. STOCK OUT'!$E:$E))</f>
        <v>0</v>
      </c>
      <c r="F35" s="3">
        <f t="shared" si="0"/>
        <v>2</v>
      </c>
      <c r="G35" t="str">
        <f>IF($A35="","",IFERROR(IF($F35&lt;=0,"OUT OF STOCK",IF($F35&lt;=VLOOKUP($A35,'2. ITEM MASTER'!$A:$D,4,FALSE),"LOW STOCK","OK")),""))</f>
        <v>LOW STOCK</v>
      </c>
    </row>
    <row r="36" spans="1:7" x14ac:dyDescent="0.35">
      <c r="A36" t="str">
        <f>IF('2. ITEM MASTER'!A36="","",'2. ITEM MASTER'!A36)</f>
        <v>E-035</v>
      </c>
      <c r="B36" t="str">
        <f>IFERROR(VLOOKUP($A36,'2. ITEM MASTER'!$A:$D,2,FALSE),"")</f>
        <v>MCB 1 POLE 10A</v>
      </c>
      <c r="C36" t="str">
        <f>IFERROR(VLOOKUP($A36,'2. ITEM MASTER'!$A:$D,3,FALSE),"")</f>
        <v>Electronics</v>
      </c>
      <c r="D36" s="3">
        <f>IF($A36="","",SUMIF('3. STOCK IN'!$B:$B,$A36,'3. STOCK IN'!$E:$E))</f>
        <v>25</v>
      </c>
      <c r="E36" s="3">
        <f>IF($A36="","",SUMIF('4. STOCK OUT'!$B:$B,$A36,'4. STOCK OUT'!$E:$E))</f>
        <v>0</v>
      </c>
      <c r="F36" s="3">
        <f t="shared" si="0"/>
        <v>25</v>
      </c>
      <c r="G36" t="str">
        <f>IF($A36="","",IFERROR(IF($F36&lt;=0,"OUT OF STOCK",IF($F36&lt;=VLOOKUP($A36,'2. ITEM MASTER'!$A:$D,4,FALSE),"LOW STOCK","OK")),""))</f>
        <v>OK</v>
      </c>
    </row>
    <row r="37" spans="1:7" x14ac:dyDescent="0.35">
      <c r="A37" t="str">
        <f>IF('2. ITEM MASTER'!A37="","",'2. ITEM MASTER'!A37)</f>
        <v>E-036</v>
      </c>
      <c r="B37" t="str">
        <f>IFERROR(VLOOKUP($A37,'2. ITEM MASTER'!$A:$D,2,FALSE),"")</f>
        <v>MCB 3POLE 16A</v>
      </c>
      <c r="C37" t="str">
        <f>IFERROR(VLOOKUP($A37,'2. ITEM MASTER'!$A:$D,3,FALSE),"")</f>
        <v>Electronics</v>
      </c>
      <c r="D37" s="3">
        <f>IF($A37="","",SUMIF('3. STOCK IN'!$B:$B,$A37,'3. STOCK IN'!$E:$E))</f>
        <v>1</v>
      </c>
      <c r="E37" s="3">
        <f>IF($A37="","",SUMIF('4. STOCK OUT'!$B:$B,$A37,'4. STOCK OUT'!$E:$E))</f>
        <v>0</v>
      </c>
      <c r="F37" s="3">
        <f t="shared" si="0"/>
        <v>1</v>
      </c>
      <c r="G37" t="str">
        <f>IF($A37="","",IFERROR(IF($F37&lt;=0,"OUT OF STOCK",IF($F37&lt;=VLOOKUP($A37,'2. ITEM MASTER'!$A:$D,4,FALSE),"LOW STOCK","OK")),""))</f>
        <v>LOW STOCK</v>
      </c>
    </row>
    <row r="38" spans="1:7" x14ac:dyDescent="0.35">
      <c r="A38" t="str">
        <f>IF('2. ITEM MASTER'!A38="","",'2. ITEM MASTER'!A38)</f>
        <v>E-037</v>
      </c>
      <c r="B38" t="str">
        <f>IFERROR(VLOOKUP($A38,'2. ITEM MASTER'!$A:$D,2,FALSE),"")</f>
        <v>MCB 1 POLE 32A</v>
      </c>
      <c r="C38" t="str">
        <f>IFERROR(VLOOKUP($A38,'2. ITEM MASTER'!$A:$D,3,FALSE),"")</f>
        <v>Electronics</v>
      </c>
      <c r="D38" s="3">
        <f>IF($A38="","",SUMIF('3. STOCK IN'!$B:$B,$A38,'3. STOCK IN'!$E:$E))</f>
        <v>8</v>
      </c>
      <c r="E38" s="3">
        <f>IF($A38="","",SUMIF('4. STOCK OUT'!$B:$B,$A38,'4. STOCK OUT'!$E:$E))</f>
        <v>0</v>
      </c>
      <c r="F38" s="3">
        <f t="shared" si="0"/>
        <v>8</v>
      </c>
      <c r="G38" t="str">
        <f>IF($A38="","",IFERROR(IF($F38&lt;=0,"OUT OF STOCK",IF($F38&lt;=VLOOKUP($A38,'2. ITEM MASTER'!$A:$D,4,FALSE),"LOW STOCK","OK")),""))</f>
        <v>OK</v>
      </c>
    </row>
    <row r="39" spans="1:7" x14ac:dyDescent="0.35">
      <c r="A39" t="str">
        <f>IF('2. ITEM MASTER'!A39="","",'2. ITEM MASTER'!A39)</f>
        <v>E-038</v>
      </c>
      <c r="B39" t="str">
        <f>IFERROR(VLOOKUP($A39,'2. ITEM MASTER'!$A:$D,2,FALSE),"")</f>
        <v>WATER LEVEL SENSOR</v>
      </c>
      <c r="C39" t="str">
        <f>IFERROR(VLOOKUP($A39,'2. ITEM MASTER'!$A:$D,3,FALSE),"")</f>
        <v>Electronics</v>
      </c>
      <c r="D39" s="3">
        <f>IF($A39="","",SUMIF('3. STOCK IN'!$B:$B,$A39,'3. STOCK IN'!$E:$E))</f>
        <v>66</v>
      </c>
      <c r="E39" s="3">
        <f>IF($A39="","",SUMIF('4. STOCK OUT'!$B:$B,$A39,'4. STOCK OUT'!$E:$E))</f>
        <v>0</v>
      </c>
      <c r="F39" s="3">
        <f t="shared" si="0"/>
        <v>66</v>
      </c>
      <c r="G39" t="str">
        <f>IF($A39="","",IFERROR(IF($F39&lt;=0,"OUT OF STOCK",IF($F39&lt;=VLOOKUP($A39,'2. ITEM MASTER'!$A:$D,4,FALSE),"LOW STOCK","OK")),""))</f>
        <v>OK</v>
      </c>
    </row>
    <row r="40" spans="1:7" x14ac:dyDescent="0.35">
      <c r="A40" t="str">
        <f>IF('2. ITEM MASTER'!A40="","",'2. ITEM MASTER'!A40)</f>
        <v>E-039</v>
      </c>
      <c r="B40" t="str">
        <f>IFERROR(VLOOKUP($A40,'2. ITEM MASTER'!$A:$D,2,FALSE),"")</f>
        <v>WIRE 0..5 YELLOW</v>
      </c>
      <c r="C40" t="str">
        <f>IFERROR(VLOOKUP($A40,'2. ITEM MASTER'!$A:$D,3,FALSE),"")</f>
        <v>Electronics</v>
      </c>
      <c r="D40" s="3">
        <f>IF($A40="","",SUMIF('3. STOCK IN'!$B:$B,$A40,'3. STOCK IN'!$E:$E))</f>
        <v>0</v>
      </c>
      <c r="E40" s="3">
        <f>IF($A40="","",SUMIF('4. STOCK OUT'!$B:$B,$A40,'4. STOCK OUT'!$E:$E))</f>
        <v>0</v>
      </c>
      <c r="F40" s="3">
        <f t="shared" si="0"/>
        <v>0</v>
      </c>
      <c r="G40" t="str">
        <f>IF($A40="","",IFERROR(IF($F40&lt;=0,"OUT OF STOCK",IF($F40&lt;=VLOOKUP($A40,'2. ITEM MASTER'!$A:$D,4,FALSE),"LOW STOCK","OK")),""))</f>
        <v>OUT OF STOCK</v>
      </c>
    </row>
    <row r="41" spans="1:7" x14ac:dyDescent="0.35">
      <c r="A41" t="str">
        <f>IF('2. ITEM MASTER'!A41="","",'2. ITEM MASTER'!A41)</f>
        <v>E-040</v>
      </c>
      <c r="B41" t="str">
        <f>IFERROR(VLOOKUP($A41,'2. ITEM MASTER'!$A:$D,2,FALSE),"")</f>
        <v>WIRE 0.5 BLUE</v>
      </c>
      <c r="C41" t="str">
        <f>IFERROR(VLOOKUP($A41,'2. ITEM MASTER'!$A:$D,3,FALSE),"")</f>
        <v>Electronics</v>
      </c>
      <c r="D41" s="3">
        <f>IF($A41="","",SUMIF('3. STOCK IN'!$B:$B,$A41,'3. STOCK IN'!$E:$E))</f>
        <v>0</v>
      </c>
      <c r="E41" s="3">
        <f>IF($A41="","",SUMIF('4. STOCK OUT'!$B:$B,$A41,'4. STOCK OUT'!$E:$E))</f>
        <v>0</v>
      </c>
      <c r="F41" s="3">
        <f t="shared" si="0"/>
        <v>0</v>
      </c>
      <c r="G41" t="str">
        <f>IF($A41="","",IFERROR(IF($F41&lt;=0,"OUT OF STOCK",IF($F41&lt;=VLOOKUP($A41,'2. ITEM MASTER'!$A:$D,4,FALSE),"LOW STOCK","OK")),""))</f>
        <v>OUT OF STOCK</v>
      </c>
    </row>
    <row r="42" spans="1:7" x14ac:dyDescent="0.35">
      <c r="A42" t="str">
        <f>IF('2. ITEM MASTER'!A42="","",'2. ITEM MASTER'!A42)</f>
        <v>E-041</v>
      </c>
      <c r="B42" t="str">
        <f>IFERROR(VLOOKUP($A42,'2. ITEM MASTER'!$A:$D,2,FALSE),"")</f>
        <v>WIRE 0.5 BLACK</v>
      </c>
      <c r="C42" t="str">
        <f>IFERROR(VLOOKUP($A42,'2. ITEM MASTER'!$A:$D,3,FALSE),"")</f>
        <v>Electronics</v>
      </c>
      <c r="D42" s="3">
        <f>IF($A42="","",SUMIF('3. STOCK IN'!$B:$B,$A42,'3. STOCK IN'!$E:$E))</f>
        <v>0</v>
      </c>
      <c r="E42" s="3">
        <f>IF($A42="","",SUMIF('4. STOCK OUT'!$B:$B,$A42,'4. STOCK OUT'!$E:$E))</f>
        <v>0</v>
      </c>
      <c r="F42" s="3">
        <f t="shared" si="0"/>
        <v>0</v>
      </c>
      <c r="G42" t="str">
        <f>IF($A42="","",IFERROR(IF($F42&lt;=0,"OUT OF STOCK",IF($F42&lt;=VLOOKUP($A42,'2. ITEM MASTER'!$A:$D,4,FALSE),"LOW STOCK","OK")),""))</f>
        <v>OUT OF STOCK</v>
      </c>
    </row>
    <row r="43" spans="1:7" x14ac:dyDescent="0.35">
      <c r="A43" t="str">
        <f>IF('2. ITEM MASTER'!A43="","",'2. ITEM MASTER'!A43)</f>
        <v>E-042</v>
      </c>
      <c r="B43" t="str">
        <f>IFERROR(VLOOKUP($A43,'2. ITEM MASTER'!$A:$D,2,FALSE),"")</f>
        <v>WIRE 0.5 GAREY</v>
      </c>
      <c r="C43" t="str">
        <f>IFERROR(VLOOKUP($A43,'2. ITEM MASTER'!$A:$D,3,FALSE),"")</f>
        <v>Electronics</v>
      </c>
      <c r="D43" s="3">
        <f>IF($A43="","",SUMIF('3. STOCK IN'!$B:$B,$A43,'3. STOCK IN'!$E:$E))</f>
        <v>0</v>
      </c>
      <c r="E43" s="3">
        <f>IF($A43="","",SUMIF('4. STOCK OUT'!$B:$B,$A43,'4. STOCK OUT'!$E:$E))</f>
        <v>0</v>
      </c>
      <c r="F43" s="3">
        <f t="shared" si="0"/>
        <v>0</v>
      </c>
      <c r="G43" t="str">
        <f>IF($A43="","",IFERROR(IF($F43&lt;=0,"OUT OF STOCK",IF($F43&lt;=VLOOKUP($A43,'2. ITEM MASTER'!$A:$D,4,FALSE),"LOW STOCK","OK")),""))</f>
        <v>OUT OF STOCK</v>
      </c>
    </row>
    <row r="44" spans="1:7" x14ac:dyDescent="0.35">
      <c r="A44" t="str">
        <f>IF('2. ITEM MASTER'!A44="","",'2. ITEM MASTER'!A44)</f>
        <v>E-043</v>
      </c>
      <c r="B44" t="str">
        <f>IFERROR(VLOOKUP($A44,'2. ITEM MASTER'!$A:$D,2,FALSE),"")</f>
        <v>WIRE 0.5 GREEN</v>
      </c>
      <c r="C44" t="str">
        <f>IFERROR(VLOOKUP($A44,'2. ITEM MASTER'!$A:$D,3,FALSE),"")</f>
        <v>Electronics</v>
      </c>
      <c r="D44" s="3">
        <f>IF($A44="","",SUMIF('3. STOCK IN'!$B:$B,$A44,'3. STOCK IN'!$E:$E))</f>
        <v>0</v>
      </c>
      <c r="E44" s="3">
        <f>IF($A44="","",SUMIF('4. STOCK OUT'!$B:$B,$A44,'4. STOCK OUT'!$E:$E))</f>
        <v>0</v>
      </c>
      <c r="F44" s="3">
        <f t="shared" si="0"/>
        <v>0</v>
      </c>
      <c r="G44" t="str">
        <f>IF($A44="","",IFERROR(IF($F44&lt;=0,"OUT OF STOCK",IF($F44&lt;=VLOOKUP($A44,'2. ITEM MASTER'!$A:$D,4,FALSE),"LOW STOCK","OK")),""))</f>
        <v>OUT OF STOCK</v>
      </c>
    </row>
    <row r="45" spans="1:7" x14ac:dyDescent="0.35">
      <c r="A45" t="str">
        <f>IF('2. ITEM MASTER'!A45="","",'2. ITEM MASTER'!A45)</f>
        <v>E-044</v>
      </c>
      <c r="B45" t="str">
        <f>IFERROR(VLOOKUP($A45,'2. ITEM MASTER'!$A:$D,2,FALSE),"")</f>
        <v>WIRE 0.5 ORANGE</v>
      </c>
      <c r="C45" t="str">
        <f>IFERROR(VLOOKUP($A45,'2. ITEM MASTER'!$A:$D,3,FALSE),"")</f>
        <v>Electronics</v>
      </c>
      <c r="D45" s="3">
        <f>IF($A45="","",SUMIF('3. STOCK IN'!$B:$B,$A45,'3. STOCK IN'!$E:$E))</f>
        <v>0</v>
      </c>
      <c r="E45" s="3">
        <f>IF($A45="","",SUMIF('4. STOCK OUT'!$B:$B,$A45,'4. STOCK OUT'!$E:$E))</f>
        <v>0</v>
      </c>
      <c r="F45" s="3">
        <f t="shared" si="0"/>
        <v>0</v>
      </c>
      <c r="G45" t="str">
        <f>IF($A45="","",IFERROR(IF($F45&lt;=0,"OUT OF STOCK",IF($F45&lt;=VLOOKUP($A45,'2. ITEM MASTER'!$A:$D,4,FALSE),"LOW STOCK","OK")),""))</f>
        <v>OUT OF STOCK</v>
      </c>
    </row>
    <row r="46" spans="1:7" x14ac:dyDescent="0.35">
      <c r="A46" t="str">
        <f>IF('2. ITEM MASTER'!A46="","",'2. ITEM MASTER'!A46)</f>
        <v>E-045</v>
      </c>
      <c r="B46" t="str">
        <f>IFERROR(VLOOKUP($A46,'2. ITEM MASTER'!$A:$D,2,FALSE),"")</f>
        <v>WIRE 0.5 RED</v>
      </c>
      <c r="C46" t="str">
        <f>IFERROR(VLOOKUP($A46,'2. ITEM MASTER'!$A:$D,3,FALSE),"")</f>
        <v>Electronics</v>
      </c>
      <c r="D46" s="3">
        <f>IF($A46="","",SUMIF('3. STOCK IN'!$B:$B,$A46,'3. STOCK IN'!$E:$E))</f>
        <v>0</v>
      </c>
      <c r="E46" s="3">
        <f>IF($A46="","",SUMIF('4. STOCK OUT'!$B:$B,$A46,'4. STOCK OUT'!$E:$E))</f>
        <v>0</v>
      </c>
      <c r="F46" s="3">
        <f t="shared" si="0"/>
        <v>0</v>
      </c>
      <c r="G46" t="str">
        <f>IF($A46="","",IFERROR(IF($F46&lt;=0,"OUT OF STOCK",IF($F46&lt;=VLOOKUP($A46,'2. ITEM MASTER'!$A:$D,4,FALSE),"LOW STOCK","OK")),""))</f>
        <v>OUT OF STOCK</v>
      </c>
    </row>
    <row r="47" spans="1:7" x14ac:dyDescent="0.35">
      <c r="A47" t="str">
        <f>IF('2. ITEM MASTER'!A47="","",'2. ITEM MASTER'!A47)</f>
        <v>E-046</v>
      </c>
      <c r="B47" t="str">
        <f>IFERROR(VLOOKUP($A47,'2. ITEM MASTER'!$A:$D,2,FALSE),"")</f>
        <v>WIRE 0.5 WHIT</v>
      </c>
      <c r="C47" t="str">
        <f>IFERROR(VLOOKUP($A47,'2. ITEM MASTER'!$A:$D,3,FALSE),"")</f>
        <v>Electronics</v>
      </c>
      <c r="D47" s="3">
        <f>IF($A47="","",SUMIF('3. STOCK IN'!$B:$B,$A47,'3. STOCK IN'!$E:$E))</f>
        <v>0</v>
      </c>
      <c r="E47" s="3">
        <f>IF($A47="","",SUMIF('4. STOCK OUT'!$B:$B,$A47,'4. STOCK OUT'!$E:$E))</f>
        <v>0</v>
      </c>
      <c r="F47" s="3">
        <f t="shared" si="0"/>
        <v>0</v>
      </c>
      <c r="G47" t="str">
        <f>IF($A47="","",IFERROR(IF($F47&lt;=0,"OUT OF STOCK",IF($F47&lt;=VLOOKUP($A47,'2. ITEM MASTER'!$A:$D,4,FALSE),"LOW STOCK","OK")),""))</f>
        <v>OUT OF STOCK</v>
      </c>
    </row>
    <row r="48" spans="1:7" x14ac:dyDescent="0.35">
      <c r="A48" t="str">
        <f>IF('2. ITEM MASTER'!A48="","",'2. ITEM MASTER'!A48)</f>
        <v>E-047</v>
      </c>
      <c r="B48" t="str">
        <f>IFERROR(VLOOKUP($A48,'2. ITEM MASTER'!$A:$D,2,FALSE),"")</f>
        <v>WIRE 2 COR 736 BLACK</v>
      </c>
      <c r="C48" t="str">
        <f>IFERROR(VLOOKUP($A48,'2. ITEM MASTER'!$A:$D,3,FALSE),"")</f>
        <v>Electronics</v>
      </c>
      <c r="D48" s="3">
        <f>IF($A48="","",SUMIF('3. STOCK IN'!$B:$B,$A48,'3. STOCK IN'!$E:$E))</f>
        <v>0</v>
      </c>
      <c r="E48" s="3">
        <f>IF($A48="","",SUMIF('4. STOCK OUT'!$B:$B,$A48,'4. STOCK OUT'!$E:$E))</f>
        <v>0</v>
      </c>
      <c r="F48" s="3">
        <f t="shared" si="0"/>
        <v>0</v>
      </c>
      <c r="G48" t="str">
        <f>IF($A48="","",IFERROR(IF($F48&lt;=0,"OUT OF STOCK",IF($F48&lt;=VLOOKUP($A48,'2. ITEM MASTER'!$A:$D,4,FALSE),"LOW STOCK","OK")),""))</f>
        <v>OUT OF STOCK</v>
      </c>
    </row>
    <row r="49" spans="1:7" x14ac:dyDescent="0.35">
      <c r="A49" t="str">
        <f>IF('2. ITEM MASTER'!A49="","",'2. ITEM MASTER'!A49)</f>
        <v>E-048</v>
      </c>
      <c r="B49" t="str">
        <f>IFERROR(VLOOKUP($A49,'2. ITEM MASTER'!$A:$D,2,FALSE),"")</f>
        <v>WIRE 0.5 BROWN</v>
      </c>
      <c r="C49" t="str">
        <f>IFERROR(VLOOKUP($A49,'2. ITEM MASTER'!$A:$D,3,FALSE),"")</f>
        <v>Electronics</v>
      </c>
      <c r="D49" s="3">
        <f>IF($A49="","",SUMIF('3. STOCK IN'!$B:$B,$A49,'3. STOCK IN'!$E:$E))</f>
        <v>0</v>
      </c>
      <c r="E49" s="3">
        <f>IF($A49="","",SUMIF('4. STOCK OUT'!$B:$B,$A49,'4. STOCK OUT'!$E:$E))</f>
        <v>0</v>
      </c>
      <c r="F49" s="3">
        <f t="shared" si="0"/>
        <v>0</v>
      </c>
      <c r="G49" t="str">
        <f>IF($A49="","",IFERROR(IF($F49&lt;=0,"OUT OF STOCK",IF($F49&lt;=VLOOKUP($A49,'2. ITEM MASTER'!$A:$D,4,FALSE),"LOW STOCK","OK")),""))</f>
        <v>OUT OF STOCK</v>
      </c>
    </row>
    <row r="50" spans="1:7" x14ac:dyDescent="0.35">
      <c r="A50" t="str">
        <f>IF('2. ITEM MASTER'!A50="","",'2. ITEM MASTER'!A50)</f>
        <v>E-049</v>
      </c>
      <c r="B50" t="str">
        <f>IFERROR(VLOOKUP($A50,'2. ITEM MASTER'!$A:$D,2,FALSE),"")</f>
        <v>WIRE 3COR 7-36 SHI GARY</v>
      </c>
      <c r="C50" t="str">
        <f>IFERROR(VLOOKUP($A50,'2. ITEM MASTER'!$A:$D,3,FALSE),"")</f>
        <v>Electronics</v>
      </c>
      <c r="D50" s="3">
        <f>IF($A50="","",SUMIF('3. STOCK IN'!$B:$B,$A50,'3. STOCK IN'!$E:$E))</f>
        <v>0</v>
      </c>
      <c r="E50" s="3">
        <f>IF($A50="","",SUMIF('4. STOCK OUT'!$B:$B,$A50,'4. STOCK OUT'!$E:$E))</f>
        <v>0</v>
      </c>
      <c r="F50" s="3">
        <f t="shared" si="0"/>
        <v>0</v>
      </c>
      <c r="G50" t="str">
        <f>IF($A50="","",IFERROR(IF($F50&lt;=0,"OUT OF STOCK",IF($F50&lt;=VLOOKUP($A50,'2. ITEM MASTER'!$A:$D,4,FALSE),"LOW STOCK","OK")),""))</f>
        <v>OUT OF STOCK</v>
      </c>
    </row>
    <row r="51" spans="1:7" x14ac:dyDescent="0.35">
      <c r="A51" t="str">
        <f>IF('2. ITEM MASTER'!A51="","",'2. ITEM MASTER'!A51)</f>
        <v>E-050</v>
      </c>
      <c r="B51" t="str">
        <f>IFERROR(VLOOKUP($A51,'2. ITEM MASTER'!$A:$D,2,FALSE),"")</f>
        <v>WIRE 2COR 0.5</v>
      </c>
      <c r="C51" t="str">
        <f>IFERROR(VLOOKUP($A51,'2. ITEM MASTER'!$A:$D,3,FALSE),"")</f>
        <v>Electronics</v>
      </c>
      <c r="D51" s="3">
        <f>IF($A51="","",SUMIF('3. STOCK IN'!$B:$B,$A51,'3. STOCK IN'!$E:$E))</f>
        <v>0</v>
      </c>
      <c r="E51" s="3">
        <f>IF($A51="","",SUMIF('4. STOCK OUT'!$B:$B,$A51,'4. STOCK OUT'!$E:$E))</f>
        <v>0</v>
      </c>
      <c r="F51" s="3">
        <f t="shared" si="0"/>
        <v>0</v>
      </c>
      <c r="G51" t="str">
        <f>IF($A51="","",IFERROR(IF($F51&lt;=0,"OUT OF STOCK",IF($F51&lt;=VLOOKUP($A51,'2. ITEM MASTER'!$A:$D,4,FALSE),"LOW STOCK","OK")),""))</f>
        <v>OUT OF STOCK</v>
      </c>
    </row>
    <row r="52" spans="1:7" x14ac:dyDescent="0.35">
      <c r="A52" t="str">
        <f>IF('2. ITEM MASTER'!A52="","",'2. ITEM MASTER'!A52)</f>
        <v>E-051</v>
      </c>
      <c r="B52" t="str">
        <f>IFERROR(VLOOKUP($A52,'2. ITEM MASTER'!$A:$D,2,FALSE),"")</f>
        <v>WIRE 1MM BULE</v>
      </c>
      <c r="C52" t="str">
        <f>IFERROR(VLOOKUP($A52,'2. ITEM MASTER'!$A:$D,3,FALSE),"")</f>
        <v>Electronics</v>
      </c>
      <c r="D52" s="3">
        <f>IF($A52="","",SUMIF('3. STOCK IN'!$B:$B,$A52,'3. STOCK IN'!$E:$E))</f>
        <v>0</v>
      </c>
      <c r="E52" s="3">
        <f>IF($A52="","",SUMIF('4. STOCK OUT'!$B:$B,$A52,'4. STOCK OUT'!$E:$E))</f>
        <v>0</v>
      </c>
      <c r="F52" s="3">
        <f t="shared" si="0"/>
        <v>0</v>
      </c>
      <c r="G52" t="str">
        <f>IF($A52="","",IFERROR(IF($F52&lt;=0,"OUT OF STOCK",IF($F52&lt;=VLOOKUP($A52,'2. ITEM MASTER'!$A:$D,4,FALSE),"LOW STOCK","OK")),""))</f>
        <v>OUT OF STOCK</v>
      </c>
    </row>
    <row r="53" spans="1:7" x14ac:dyDescent="0.35">
      <c r="A53" t="str">
        <f>IF('2. ITEM MASTER'!A53="","",'2. ITEM MASTER'!A53)</f>
        <v>E-052</v>
      </c>
      <c r="B53" t="str">
        <f>IFERROR(VLOOKUP($A53,'2. ITEM MASTER'!$A:$D,2,FALSE),"")</f>
        <v>WIRE 1 MM 3 COR</v>
      </c>
      <c r="C53" t="str">
        <f>IFERROR(VLOOKUP($A53,'2. ITEM MASTER'!$A:$D,3,FALSE),"")</f>
        <v>Electronics</v>
      </c>
      <c r="D53" s="3">
        <f>IF($A53="","",SUMIF('3. STOCK IN'!$B:$B,$A53,'3. STOCK IN'!$E:$E))</f>
        <v>0</v>
      </c>
      <c r="E53" s="3">
        <f>IF($A53="","",SUMIF('4. STOCK OUT'!$B:$B,$A53,'4. STOCK OUT'!$E:$E))</f>
        <v>0</v>
      </c>
      <c r="F53" s="3">
        <f t="shared" si="0"/>
        <v>0</v>
      </c>
      <c r="G53" t="str">
        <f>IF($A53="","",IFERROR(IF($F53&lt;=0,"OUT OF STOCK",IF($F53&lt;=VLOOKUP($A53,'2. ITEM MASTER'!$A:$D,4,FALSE),"LOW STOCK","OK")),""))</f>
        <v>OUT OF STOCK</v>
      </c>
    </row>
    <row r="54" spans="1:7" x14ac:dyDescent="0.35">
      <c r="A54" t="str">
        <f>IF('2. ITEM MASTER'!A54="","",'2. ITEM MASTER'!A54)</f>
        <v>E-053</v>
      </c>
      <c r="B54" t="str">
        <f>IFERROR(VLOOKUP($A54,'2. ITEM MASTER'!$A:$D,2,FALSE),"")</f>
        <v>WIRE 3 COR 7-36 BLACK</v>
      </c>
      <c r="C54" t="str">
        <f>IFERROR(VLOOKUP($A54,'2. ITEM MASTER'!$A:$D,3,FALSE),"")</f>
        <v>Electronics</v>
      </c>
      <c r="D54" s="3">
        <f>IF($A54="","",SUMIF('3. STOCK IN'!$B:$B,$A54,'3. STOCK IN'!$E:$E))</f>
        <v>0</v>
      </c>
      <c r="E54" s="3">
        <f>IF($A54="","",SUMIF('4. STOCK OUT'!$B:$B,$A54,'4. STOCK OUT'!$E:$E))</f>
        <v>0</v>
      </c>
      <c r="F54" s="3">
        <f t="shared" si="0"/>
        <v>0</v>
      </c>
      <c r="G54" t="str">
        <f>IF($A54="","",IFERROR(IF($F54&lt;=0,"OUT OF STOCK",IF($F54&lt;=VLOOKUP($A54,'2. ITEM MASTER'!$A:$D,4,FALSE),"LOW STOCK","OK")),""))</f>
        <v>OUT OF STOCK</v>
      </c>
    </row>
    <row r="55" spans="1:7" x14ac:dyDescent="0.35">
      <c r="A55" t="str">
        <f>IF('2. ITEM MASTER'!A55="","",'2. ITEM MASTER'!A55)</f>
        <v>E-054</v>
      </c>
      <c r="B55" t="str">
        <f>IFERROR(VLOOKUP($A55,'2. ITEM MASTER'!$A:$D,2,FALSE),"")</f>
        <v>CHANEEL PATTI</v>
      </c>
      <c r="C55" t="str">
        <f>IFERROR(VLOOKUP($A55,'2. ITEM MASTER'!$A:$D,3,FALSE),"")</f>
        <v>Electronics</v>
      </c>
      <c r="D55" s="3">
        <f>IF($A55="","",SUMIF('3. STOCK IN'!$B:$B,$A55,'3. STOCK IN'!$E:$E))</f>
        <v>5</v>
      </c>
      <c r="E55" s="3">
        <f>IF($A55="","",SUMIF('4. STOCK OUT'!$B:$B,$A55,'4. STOCK OUT'!$E:$E))</f>
        <v>0</v>
      </c>
      <c r="F55" s="3">
        <f t="shared" si="0"/>
        <v>5</v>
      </c>
      <c r="G55" t="str">
        <f>IF($A55="","",IFERROR(IF($F55&lt;=0,"OUT OF STOCK",IF($F55&lt;=VLOOKUP($A55,'2. ITEM MASTER'!$A:$D,4,FALSE),"LOW STOCK","OK")),""))</f>
        <v>LOW STOCK</v>
      </c>
    </row>
    <row r="56" spans="1:7" x14ac:dyDescent="0.35">
      <c r="A56" t="str">
        <f>IF('2. ITEM MASTER'!A56="","",'2. ITEM MASTER'!A56)</f>
        <v>E-055</v>
      </c>
      <c r="B56" t="str">
        <f>IFERROR(VLOOKUP($A56,'2. ITEM MASTER'!$A:$D,2,FALSE),"")</f>
        <v>BAZZER LAMP</v>
      </c>
      <c r="C56" t="str">
        <f>IFERROR(VLOOKUP($A56,'2. ITEM MASTER'!$A:$D,3,FALSE),"")</f>
        <v>Electronics</v>
      </c>
      <c r="D56" s="3">
        <f>IF($A56="","",SUMIF('3. STOCK IN'!$B:$B,$A56,'3. STOCK IN'!$E:$E))</f>
        <v>4</v>
      </c>
      <c r="E56" s="3">
        <f>IF($A56="","",SUMIF('4. STOCK OUT'!$B:$B,$A56,'4. STOCK OUT'!$E:$E))</f>
        <v>0</v>
      </c>
      <c r="F56" s="3">
        <f t="shared" si="0"/>
        <v>4</v>
      </c>
      <c r="G56" t="str">
        <f>IF($A56="","",IFERROR(IF($F56&lt;=0,"OUT OF STOCK",IF($F56&lt;=VLOOKUP($A56,'2. ITEM MASTER'!$A:$D,4,FALSE),"LOW STOCK","OK")),""))</f>
        <v>LOW STOCK</v>
      </c>
    </row>
    <row r="57" spans="1:7" x14ac:dyDescent="0.35">
      <c r="A57" t="str">
        <f>IF('2. ITEM MASTER'!A57="","",'2. ITEM MASTER'!A57)</f>
        <v>E-056</v>
      </c>
      <c r="B57" t="str">
        <f>IFERROR(VLOOKUP($A57,'2. ITEM MASTER'!$A:$D,2,FALSE),"")</f>
        <v>CABLE GALAN</v>
      </c>
      <c r="C57" t="str">
        <f>IFERROR(VLOOKUP($A57,'2. ITEM MASTER'!$A:$D,3,FALSE),"")</f>
        <v>Electronics</v>
      </c>
      <c r="D57" s="3">
        <f>IF($A57="","",SUMIF('3. STOCK IN'!$B:$B,$A57,'3. STOCK IN'!$E:$E))</f>
        <v>10</v>
      </c>
      <c r="E57" s="3">
        <f>IF($A57="","",SUMIF('4. STOCK OUT'!$B:$B,$A57,'4. STOCK OUT'!$E:$E))</f>
        <v>0</v>
      </c>
      <c r="F57" s="3">
        <f t="shared" si="0"/>
        <v>10</v>
      </c>
      <c r="G57" t="str">
        <f>IF($A57="","",IFERROR(IF($F57&lt;=0,"OUT OF STOCK",IF($F57&lt;=VLOOKUP($A57,'2. ITEM MASTER'!$A:$D,4,FALSE),"LOW STOCK","OK")),""))</f>
        <v>OK</v>
      </c>
    </row>
    <row r="58" spans="1:7" x14ac:dyDescent="0.35">
      <c r="A58" t="str">
        <f>IF('2. ITEM MASTER'!A58="","",'2. ITEM MASTER'!A58)</f>
        <v>E-057</v>
      </c>
      <c r="B58" t="str">
        <f>IFERROR(VLOOKUP($A58,'2. ITEM MASTER'!$A:$D,2,FALSE),"")</f>
        <v>CAMERA 4G</v>
      </c>
      <c r="C58" t="str">
        <f>IFERROR(VLOOKUP($A58,'2. ITEM MASTER'!$A:$D,3,FALSE),"")</f>
        <v>Electronics</v>
      </c>
      <c r="D58" s="3">
        <f>IF($A58="","",SUMIF('3. STOCK IN'!$B:$B,$A58,'3. STOCK IN'!$E:$E))</f>
        <v>3</v>
      </c>
      <c r="E58" s="3">
        <f>IF($A58="","",SUMIF('4. STOCK OUT'!$B:$B,$A58,'4. STOCK OUT'!$E:$E))</f>
        <v>0</v>
      </c>
      <c r="F58" s="3">
        <f t="shared" si="0"/>
        <v>3</v>
      </c>
      <c r="G58" t="str">
        <f>IF($A58="","",IFERROR(IF($F58&lt;=0,"OUT OF STOCK",IF($F58&lt;=VLOOKUP($A58,'2. ITEM MASTER'!$A:$D,4,FALSE),"LOW STOCK","OK")),""))</f>
        <v>LOW STOCK</v>
      </c>
    </row>
    <row r="59" spans="1:7" x14ac:dyDescent="0.35">
      <c r="A59" t="str">
        <f>IF('2. ITEM MASTER'!A59="","",'2. ITEM MASTER'!A59)</f>
        <v>E-058</v>
      </c>
      <c r="B59" t="str">
        <f>IFERROR(VLOOKUP($A59,'2. ITEM MASTER'!$A:$D,2,FALSE),"")</f>
        <v>CAMERA HOME</v>
      </c>
      <c r="C59" t="str">
        <f>IFERROR(VLOOKUP($A59,'2. ITEM MASTER'!$A:$D,3,FALSE),"")</f>
        <v>Electronics</v>
      </c>
      <c r="D59" s="3">
        <f>IF($A59="","",SUMIF('3. STOCK IN'!$B:$B,$A59,'3. STOCK IN'!$E:$E))</f>
        <v>2</v>
      </c>
      <c r="E59" s="3">
        <f>IF($A59="","",SUMIF('4. STOCK OUT'!$B:$B,$A59,'4. STOCK OUT'!$E:$E))</f>
        <v>0</v>
      </c>
      <c r="F59" s="3">
        <f t="shared" si="0"/>
        <v>2</v>
      </c>
      <c r="G59" t="str">
        <f>IF($A59="","",IFERROR(IF($F59&lt;=0,"OUT OF STOCK",IF($F59&lt;=VLOOKUP($A59,'2. ITEM MASTER'!$A:$D,4,FALSE),"LOW STOCK","OK")),""))</f>
        <v>LOW STOCK</v>
      </c>
    </row>
    <row r="60" spans="1:7" x14ac:dyDescent="0.35">
      <c r="A60" t="str">
        <f>IF('2. ITEM MASTER'!A60="","",'2. ITEM MASTER'!A60)</f>
        <v>E-059</v>
      </c>
      <c r="B60" t="str">
        <f>IFERROR(VLOOKUP($A60,'2. ITEM MASTER'!$A:$D,2,FALSE),"")</f>
        <v>HMI</v>
      </c>
      <c r="C60" t="str">
        <f>IFERROR(VLOOKUP($A60,'2. ITEM MASTER'!$A:$D,3,FALSE),"")</f>
        <v>Electronics</v>
      </c>
      <c r="D60" s="3">
        <f>IF($A60="","",SUMIF('3. STOCK IN'!$B:$B,$A60,'3. STOCK IN'!$E:$E))</f>
        <v>1</v>
      </c>
      <c r="E60" s="3">
        <f>IF($A60="","",SUMIF('4. STOCK OUT'!$B:$B,$A60,'4. STOCK OUT'!$E:$E))</f>
        <v>0</v>
      </c>
      <c r="F60" s="3">
        <f t="shared" si="0"/>
        <v>1</v>
      </c>
      <c r="G60" t="str">
        <f>IF($A60="","",IFERROR(IF($F60&lt;=0,"OUT OF STOCK",IF($F60&lt;=VLOOKUP($A60,'2. ITEM MASTER'!$A:$D,4,FALSE),"LOW STOCK","OK")),""))</f>
        <v>LOW STOCK</v>
      </c>
    </row>
    <row r="61" spans="1:7" x14ac:dyDescent="0.35">
      <c r="A61" t="str">
        <f>IF('2. ITEM MASTER'!A61="","",'2. ITEM MASTER'!A61)</f>
        <v>E-060</v>
      </c>
      <c r="B61" t="str">
        <f>IFERROR(VLOOKUP($A61,'2. ITEM MASTER'!$A:$D,2,FALSE),"")</f>
        <v>HARNESS PUSH BOTTON</v>
      </c>
      <c r="C61" t="str">
        <f>IFERROR(VLOOKUP($A61,'2. ITEM MASTER'!$A:$D,3,FALSE),"")</f>
        <v>Electronics</v>
      </c>
      <c r="D61" s="3">
        <f>IF($A61="","",SUMIF('3. STOCK IN'!$B:$B,$A61,'3. STOCK IN'!$E:$E))</f>
        <v>50</v>
      </c>
      <c r="E61" s="3">
        <f>IF($A61="","",SUMIF('4. STOCK OUT'!$B:$B,$A61,'4. STOCK OUT'!$E:$E))</f>
        <v>0</v>
      </c>
      <c r="F61" s="3">
        <f t="shared" si="0"/>
        <v>50</v>
      </c>
      <c r="G61" t="str">
        <f>IF($A61="","",IFERROR(IF($F61&lt;=0,"OUT OF STOCK",IF($F61&lt;=VLOOKUP($A61,'2. ITEM MASTER'!$A:$D,4,FALSE),"LOW STOCK","OK")),""))</f>
        <v>OK</v>
      </c>
    </row>
    <row r="62" spans="1:7" x14ac:dyDescent="0.35">
      <c r="A62" t="str">
        <f>IF('2. ITEM MASTER'!A62="","",'2. ITEM MASTER'!A62)</f>
        <v>E-061</v>
      </c>
      <c r="B62" t="str">
        <f>IFERROR(VLOOKUP($A62,'2. ITEM MASTER'!$A:$D,2,FALSE),"")</f>
        <v>LUG</v>
      </c>
      <c r="C62" t="str">
        <f>IFERROR(VLOOKUP($A62,'2. ITEM MASTER'!$A:$D,3,FALSE),"")</f>
        <v>Electronics</v>
      </c>
      <c r="D62" s="3">
        <f>IF($A62="","",SUMIF('3. STOCK IN'!$B:$B,$A62,'3. STOCK IN'!$E:$E))</f>
        <v>1000</v>
      </c>
      <c r="E62" s="3">
        <f>IF($A62="","",SUMIF('4. STOCK OUT'!$B:$B,$A62,'4. STOCK OUT'!$E:$E))</f>
        <v>0</v>
      </c>
      <c r="F62" s="3">
        <f t="shared" si="0"/>
        <v>1000</v>
      </c>
      <c r="G62" t="str">
        <f>IF($A62="","",IFERROR(IF($F62&lt;=0,"OUT OF STOCK",IF($F62&lt;=VLOOKUP($A62,'2. ITEM MASTER'!$A:$D,4,FALSE),"LOW STOCK","OK")),""))</f>
        <v>OK</v>
      </c>
    </row>
    <row r="63" spans="1:7" x14ac:dyDescent="0.35">
      <c r="A63" t="str">
        <f>IF('2. ITEM MASTER'!A63="","",'2. ITEM MASTER'!A63)</f>
        <v>E-062</v>
      </c>
      <c r="B63" t="str">
        <f>IFERROR(VLOOKUP($A63,'2. ITEM MASTER'!$A:$D,2,FALSE),"")</f>
        <v>LACQUR ALA 100</v>
      </c>
      <c r="C63" t="str">
        <f>IFERROR(VLOOKUP($A63,'2. ITEM MASTER'!$A:$D,3,FALSE),"")</f>
        <v>Electronics</v>
      </c>
      <c r="D63" s="3">
        <f>IF($A63="","",SUMIF('3. STOCK IN'!$B:$B,$A63,'3. STOCK IN'!$E:$E))</f>
        <v>0</v>
      </c>
      <c r="E63" s="3">
        <f>IF($A63="","",SUMIF('4. STOCK OUT'!$B:$B,$A63,'4. STOCK OUT'!$E:$E))</f>
        <v>0</v>
      </c>
      <c r="F63" s="3">
        <f t="shared" si="0"/>
        <v>0</v>
      </c>
      <c r="G63" t="str">
        <f>IF($A63="","",IFERROR(IF($F63&lt;=0,"OUT OF STOCK",IF($F63&lt;=VLOOKUP($A63,'2. ITEM MASTER'!$A:$D,4,FALSE),"LOW STOCK","OK")),""))</f>
        <v>OUT OF STOCK</v>
      </c>
    </row>
    <row r="64" spans="1:7" x14ac:dyDescent="0.35">
      <c r="A64" t="str">
        <f>IF('2. ITEM MASTER'!A64="","",'2. ITEM MASTER'!A64)</f>
        <v>E-063</v>
      </c>
      <c r="B64" t="str">
        <f>IFERROR(VLOOKUP($A64,'2. ITEM MASTER'!$A:$D,2,FALSE),"")</f>
        <v>MCB 16A DP</v>
      </c>
      <c r="C64" t="str">
        <f>IFERROR(VLOOKUP($A64,'2. ITEM MASTER'!$A:$D,3,FALSE),"")</f>
        <v>Electronics</v>
      </c>
      <c r="D64" s="3">
        <f>IF($A64="","",SUMIF('3. STOCK IN'!$B:$B,$A64,'3. STOCK IN'!$E:$E))</f>
        <v>11</v>
      </c>
      <c r="E64" s="3">
        <f>IF($A64="","",SUMIF('4. STOCK OUT'!$B:$B,$A64,'4. STOCK OUT'!$E:$E))</f>
        <v>0</v>
      </c>
      <c r="F64" s="3">
        <f t="shared" si="0"/>
        <v>11</v>
      </c>
      <c r="G64" t="str">
        <f>IF($A64="","",IFERROR(IF($F64&lt;=0,"OUT OF STOCK",IF($F64&lt;=VLOOKUP($A64,'2. ITEM MASTER'!$A:$D,4,FALSE),"LOW STOCK","OK")),""))</f>
        <v>OK</v>
      </c>
    </row>
    <row r="65" spans="1:7" x14ac:dyDescent="0.35">
      <c r="A65" t="str">
        <f>IF('2. ITEM MASTER'!A65="","",'2. ITEM MASTER'!A65)</f>
        <v>E-064</v>
      </c>
      <c r="B65" t="str">
        <f>IFERROR(VLOOKUP($A65,'2. ITEM MASTER'!$A:$D,2,FALSE),"")</f>
        <v>MCB BOX PVC 4P</v>
      </c>
      <c r="C65" t="str">
        <f>IFERROR(VLOOKUP($A65,'2. ITEM MASTER'!$A:$D,3,FALSE),"")</f>
        <v>Electronics</v>
      </c>
      <c r="D65" s="3">
        <f>IF($A65="","",SUMIF('3. STOCK IN'!$B:$B,$A65,'3. STOCK IN'!$E:$E))</f>
        <v>11</v>
      </c>
      <c r="E65" s="3">
        <f>IF($A65="","",SUMIF('4. STOCK OUT'!$B:$B,$A65,'4. STOCK OUT'!$E:$E))</f>
        <v>0</v>
      </c>
      <c r="F65" s="3">
        <f t="shared" si="0"/>
        <v>11</v>
      </c>
      <c r="G65" t="str">
        <f>IF($A65="","",IFERROR(IF($F65&lt;=0,"OUT OF STOCK",IF($F65&lt;=VLOOKUP($A65,'2. ITEM MASTER'!$A:$D,4,FALSE),"LOW STOCK","OK")),""))</f>
        <v>OK</v>
      </c>
    </row>
    <row r="66" spans="1:7" x14ac:dyDescent="0.35">
      <c r="A66" t="str">
        <f>IF('2. ITEM MASTER'!A66="","",'2. ITEM MASTER'!A66)</f>
        <v>E-065</v>
      </c>
      <c r="B66" t="str">
        <f>IFERROR(VLOOKUP($A66,'2. ITEM MASTER'!$A:$D,2,FALSE),"")</f>
        <v>POWER SUPPLY</v>
      </c>
      <c r="C66" t="str">
        <f>IFERROR(VLOOKUP($A66,'2. ITEM MASTER'!$A:$D,3,FALSE),"")</f>
        <v>Electronics</v>
      </c>
      <c r="D66" s="3">
        <f>IF($A66="","",SUMIF('3. STOCK IN'!$B:$B,$A66,'3. STOCK IN'!$E:$E))</f>
        <v>0</v>
      </c>
      <c r="E66" s="3">
        <f>IF($A66="","",SUMIF('4. STOCK OUT'!$B:$B,$A66,'4. STOCK OUT'!$E:$E))</f>
        <v>0</v>
      </c>
      <c r="F66" s="3">
        <f t="shared" ref="F66:F129" si="1">IF($A66="","",IFERROR($D66-$E66,0))</f>
        <v>0</v>
      </c>
      <c r="G66" t="str">
        <f>IF($A66="","",IFERROR(IF($F66&lt;=0,"OUT OF STOCK",IF($F66&lt;=VLOOKUP($A66,'2. ITEM MASTER'!$A:$D,4,FALSE),"LOW STOCK","OK")),""))</f>
        <v>OUT OF STOCK</v>
      </c>
    </row>
    <row r="67" spans="1:7" x14ac:dyDescent="0.35">
      <c r="A67" t="str">
        <f>IF('2. ITEM MASTER'!A67="","",'2. ITEM MASTER'!A67)</f>
        <v>E-066</v>
      </c>
      <c r="B67" t="str">
        <f>IFERROR(VLOOKUP($A67,'2. ITEM MASTER'!$A:$D,2,FALSE),"")</f>
        <v>PVC CONNECTOR 2X3</v>
      </c>
      <c r="C67" t="str">
        <f>IFERROR(VLOOKUP($A67,'2. ITEM MASTER'!$A:$D,3,FALSE),"")</f>
        <v>Electronics</v>
      </c>
      <c r="D67" s="3">
        <f>IF($A67="","",SUMIF('3. STOCK IN'!$B:$B,$A67,'3. STOCK IN'!$E:$E))</f>
        <v>0</v>
      </c>
      <c r="E67" s="3">
        <f>IF($A67="","",SUMIF('4. STOCK OUT'!$B:$B,$A67,'4. STOCK OUT'!$E:$E))</f>
        <v>0</v>
      </c>
      <c r="F67" s="3">
        <f t="shared" si="1"/>
        <v>0</v>
      </c>
      <c r="G67" t="str">
        <f>IF($A67="","",IFERROR(IF($F67&lt;=0,"OUT OF STOCK",IF($F67&lt;=VLOOKUP($A67,'2. ITEM MASTER'!$A:$D,4,FALSE),"LOW STOCK","OK")),""))</f>
        <v>OUT OF STOCK</v>
      </c>
    </row>
    <row r="68" spans="1:7" x14ac:dyDescent="0.35">
      <c r="A68" t="str">
        <f>IF('2. ITEM MASTER'!A68="","",'2. ITEM MASTER'!A68)</f>
        <v>E-067</v>
      </c>
      <c r="B68" t="str">
        <f>IFERROR(VLOOKUP($A68,'2. ITEM MASTER'!$A:$D,2,FALSE),"")</f>
        <v>PVC PIPE 20MM BALCK</v>
      </c>
      <c r="C68" t="str">
        <f>IFERROR(VLOOKUP($A68,'2. ITEM MASTER'!$A:$D,3,FALSE),"")</f>
        <v>Electronics</v>
      </c>
      <c r="D68" s="3">
        <f>IF($A68="","",SUMIF('3. STOCK IN'!$B:$B,$A68,'3. STOCK IN'!$E:$E))</f>
        <v>85</v>
      </c>
      <c r="E68" s="3">
        <f>IF($A68="","",SUMIF('4. STOCK OUT'!$B:$B,$A68,'4. STOCK OUT'!$E:$E))</f>
        <v>0</v>
      </c>
      <c r="F68" s="3">
        <f t="shared" si="1"/>
        <v>85</v>
      </c>
      <c r="G68" t="str">
        <f>IF($A68="","",IFERROR(IF($F68&lt;=0,"OUT OF STOCK",IF($F68&lt;=VLOOKUP($A68,'2. ITEM MASTER'!$A:$D,4,FALSE),"LOW STOCK","OK")),""))</f>
        <v>OK</v>
      </c>
    </row>
    <row r="69" spans="1:7" x14ac:dyDescent="0.35">
      <c r="A69" t="str">
        <f>IF('2. ITEM MASTER'!A69="","",'2. ITEM MASTER'!A69)</f>
        <v>E-068</v>
      </c>
      <c r="B69" t="str">
        <f>IFERROR(VLOOKUP($A69,'2. ITEM MASTER'!$A:$D,2,FALSE),"")</f>
        <v>RELAY 12V DC</v>
      </c>
      <c r="C69" t="str">
        <f>IFERROR(VLOOKUP($A69,'2. ITEM MASTER'!$A:$D,3,FALSE),"")</f>
        <v>Electronics</v>
      </c>
      <c r="D69" s="3">
        <f>IF($A69="","",SUMIF('3. STOCK IN'!$B:$B,$A69,'3. STOCK IN'!$E:$E))</f>
        <v>3</v>
      </c>
      <c r="E69" s="3">
        <f>IF($A69="","",SUMIF('4. STOCK OUT'!$B:$B,$A69,'4. STOCK OUT'!$E:$E))</f>
        <v>0</v>
      </c>
      <c r="F69" s="3">
        <f t="shared" si="1"/>
        <v>3</v>
      </c>
      <c r="G69" t="str">
        <f>IF($A69="","",IFERROR(IF($F69&lt;=0,"OUT OF STOCK",IF($F69&lt;=VLOOKUP($A69,'2. ITEM MASTER'!$A:$D,4,FALSE),"LOW STOCK","OK")),""))</f>
        <v>LOW STOCK</v>
      </c>
    </row>
    <row r="70" spans="1:7" x14ac:dyDescent="0.35">
      <c r="A70" t="str">
        <f>IF('2. ITEM MASTER'!A70="","",'2. ITEM MASTER'!A70)</f>
        <v>E-069</v>
      </c>
      <c r="B70" t="str">
        <f>IFERROR(VLOOKUP($A70,'2. ITEM MASTER'!$A:$D,2,FALSE),"")</f>
        <v>RELAY AC</v>
      </c>
      <c r="C70" t="str">
        <f>IFERROR(VLOOKUP($A70,'2. ITEM MASTER'!$A:$D,3,FALSE),"")</f>
        <v>Electronics</v>
      </c>
      <c r="D70" s="3">
        <f>IF($A70="","",SUMIF('3. STOCK IN'!$B:$B,$A70,'3. STOCK IN'!$E:$E))</f>
        <v>0</v>
      </c>
      <c r="E70" s="3">
        <f>IF($A70="","",SUMIF('4. STOCK OUT'!$B:$B,$A70,'4. STOCK OUT'!$E:$E))</f>
        <v>0</v>
      </c>
      <c r="F70" s="3">
        <f t="shared" si="1"/>
        <v>0</v>
      </c>
      <c r="G70" t="str">
        <f>IF($A70="","",IFERROR(IF($F70&lt;=0,"OUT OF STOCK",IF($F70&lt;=VLOOKUP($A70,'2. ITEM MASTER'!$A:$D,4,FALSE),"LOW STOCK","OK")),""))</f>
        <v>OUT OF STOCK</v>
      </c>
    </row>
    <row r="71" spans="1:7" x14ac:dyDescent="0.35">
      <c r="A71" t="str">
        <f>IF('2. ITEM MASTER'!A71="","",'2. ITEM MASTER'!A71)</f>
        <v>E-070</v>
      </c>
      <c r="B71" t="str">
        <f>IFERROR(VLOOKUP($A71,'2. ITEM MASTER'!$A:$D,2,FALSE),"")</f>
        <v>SOLENOID</v>
      </c>
      <c r="C71" t="str">
        <f>IFERROR(VLOOKUP($A71,'2. ITEM MASTER'!$A:$D,3,FALSE),"")</f>
        <v>Electronics</v>
      </c>
      <c r="D71" s="3">
        <f>IF($A71="","",SUMIF('3. STOCK IN'!$B:$B,$A71,'3. STOCK IN'!$E:$E))</f>
        <v>0</v>
      </c>
      <c r="E71" s="3">
        <f>IF($A71="","",SUMIF('4. STOCK OUT'!$B:$B,$A71,'4. STOCK OUT'!$E:$E))</f>
        <v>0</v>
      </c>
      <c r="F71" s="3">
        <f t="shared" si="1"/>
        <v>0</v>
      </c>
      <c r="G71" t="str">
        <f>IF($A71="","",IFERROR(IF($F71&lt;=0,"OUT OF STOCK",IF($F71&lt;=VLOOKUP($A71,'2. ITEM MASTER'!$A:$D,4,FALSE),"LOW STOCK","OK")),""))</f>
        <v>OUT OF STOCK</v>
      </c>
    </row>
    <row r="72" spans="1:7" x14ac:dyDescent="0.35">
      <c r="A72" t="str">
        <f>IF('2. ITEM MASTER'!A72="","",'2. ITEM MASTER'!A72)</f>
        <v>E-071</v>
      </c>
      <c r="B72" t="str">
        <f>IFERROR(VLOOKUP($A72,'2. ITEM MASTER'!$A:$D,2,FALSE),"")</f>
        <v>CABLE TRAY 15X15 PVC</v>
      </c>
      <c r="C72" t="str">
        <f>IFERROR(VLOOKUP($A72,'2. ITEM MASTER'!$A:$D,3,FALSE),"")</f>
        <v>Electronics</v>
      </c>
      <c r="D72" s="3">
        <f>IF($A72="","",SUMIF('3. STOCK IN'!$B:$B,$A72,'3. STOCK IN'!$E:$E))</f>
        <v>0</v>
      </c>
      <c r="E72" s="3">
        <f>IF($A72="","",SUMIF('4. STOCK OUT'!$B:$B,$A72,'4. STOCK OUT'!$E:$E))</f>
        <v>0</v>
      </c>
      <c r="F72" s="3">
        <f t="shared" si="1"/>
        <v>0</v>
      </c>
      <c r="G72" t="str">
        <f>IF($A72="","",IFERROR(IF($F72&lt;=0,"OUT OF STOCK",IF($F72&lt;=VLOOKUP($A72,'2. ITEM MASTER'!$A:$D,4,FALSE),"LOW STOCK","OK")),""))</f>
        <v>OUT OF STOCK</v>
      </c>
    </row>
    <row r="73" spans="1:7" x14ac:dyDescent="0.35">
      <c r="A73" t="str">
        <f>IF('2. ITEM MASTER'!A73="","",'2. ITEM MASTER'!A73)</f>
        <v>E-072</v>
      </c>
      <c r="B73" t="str">
        <f>IFERROR(VLOOKUP($A73,'2. ITEM MASTER'!$A:$D,2,FALSE),"")</f>
        <v>EMERGENCY PUSH BOTTON</v>
      </c>
      <c r="C73" t="str">
        <f>IFERROR(VLOOKUP($A73,'2. ITEM MASTER'!$A:$D,3,FALSE),"")</f>
        <v>Electronics</v>
      </c>
      <c r="D73" s="3">
        <f>IF($A73="","",SUMIF('3. STOCK IN'!$B:$B,$A73,'3. STOCK IN'!$E:$E))</f>
        <v>29</v>
      </c>
      <c r="E73" s="3">
        <f>IF($A73="","",SUMIF('4. STOCK OUT'!$B:$B,$A73,'4. STOCK OUT'!$E:$E))</f>
        <v>0</v>
      </c>
      <c r="F73" s="3">
        <f t="shared" si="1"/>
        <v>29</v>
      </c>
      <c r="G73" t="str">
        <f>IF($A73="","",IFERROR(IF($F73&lt;=0,"OUT OF STOCK",IF($F73&lt;=VLOOKUP($A73,'2. ITEM MASTER'!$A:$D,4,FALSE),"LOW STOCK","OK")),""))</f>
        <v>OK</v>
      </c>
    </row>
    <row r="74" spans="1:7" x14ac:dyDescent="0.35">
      <c r="A74" t="str">
        <f>IF('2. ITEM MASTER'!A74="","",'2. ITEM MASTER'!A74)</f>
        <v>E-073</v>
      </c>
      <c r="B74" t="str">
        <f>IFERROR(VLOOKUP($A74,'2. ITEM MASTER'!$A:$D,2,FALSE),"")</f>
        <v>EMERGNCY PUSH BOTTON COVER</v>
      </c>
      <c r="C74" t="str">
        <f>IFERROR(VLOOKUP($A74,'2. ITEM MASTER'!$A:$D,3,FALSE),"")</f>
        <v>Electronics</v>
      </c>
      <c r="D74" s="3">
        <f>IF($A74="","",SUMIF('3. STOCK IN'!$B:$B,$A74,'3. STOCK IN'!$E:$E))</f>
        <v>24</v>
      </c>
      <c r="E74" s="3">
        <f>IF($A74="","",SUMIF('4. STOCK OUT'!$B:$B,$A74,'4. STOCK OUT'!$E:$E))</f>
        <v>0</v>
      </c>
      <c r="F74" s="3">
        <f t="shared" si="1"/>
        <v>24</v>
      </c>
      <c r="G74" t="str">
        <f>IF($A74="","",IFERROR(IF($F74&lt;=0,"OUT OF STOCK",IF($F74&lt;=VLOOKUP($A74,'2. ITEM MASTER'!$A:$D,4,FALSE),"LOW STOCK","OK")),""))</f>
        <v>OK</v>
      </c>
    </row>
    <row r="75" spans="1:7" x14ac:dyDescent="0.35">
      <c r="A75" t="str">
        <f>IF('2. ITEM MASTER'!A75="","",'2. ITEM MASTER'!A75)</f>
        <v>E-074</v>
      </c>
      <c r="B75" t="str">
        <f>IFERROR(VLOOKUP($A75,'2. ITEM MASTER'!$A:$D,2,FALSE),"")</f>
        <v>CC TV CAMERA</v>
      </c>
      <c r="C75" t="str">
        <f>IFERROR(VLOOKUP($A75,'2. ITEM MASTER'!$A:$D,3,FALSE),"")</f>
        <v>Electronics</v>
      </c>
      <c r="D75" s="3">
        <f>IF($A75="","",SUMIF('3. STOCK IN'!$B:$B,$A75,'3. STOCK IN'!$E:$E))</f>
        <v>9</v>
      </c>
      <c r="E75" s="3">
        <f>IF($A75="","",SUMIF('4. STOCK OUT'!$B:$B,$A75,'4. STOCK OUT'!$E:$E))</f>
        <v>0</v>
      </c>
      <c r="F75" s="3">
        <f t="shared" si="1"/>
        <v>9</v>
      </c>
      <c r="G75" t="str">
        <f>IF($A75="","",IFERROR(IF($F75&lt;=0,"OUT OF STOCK",IF($F75&lt;=VLOOKUP($A75,'2. ITEM MASTER'!$A:$D,4,FALSE),"LOW STOCK","OK")),""))</f>
        <v>OK</v>
      </c>
    </row>
    <row r="76" spans="1:7" x14ac:dyDescent="0.35">
      <c r="A76" t="str">
        <f>IF('2. ITEM MASTER'!A76="","",'2. ITEM MASTER'!A76)</f>
        <v>E-075</v>
      </c>
      <c r="B76" t="str">
        <f>IFERROR(VLOOKUP($A76,'2. ITEM MASTER'!$A:$D,2,FALSE),"")</f>
        <v>DVR SET</v>
      </c>
      <c r="C76" t="str">
        <f>IFERROR(VLOOKUP($A76,'2. ITEM MASTER'!$A:$D,3,FALSE),"")</f>
        <v>Electronics</v>
      </c>
      <c r="D76" s="3">
        <f>IF($A76="","",SUMIF('3. STOCK IN'!$B:$B,$A76,'3. STOCK IN'!$E:$E))</f>
        <v>2</v>
      </c>
      <c r="E76" s="3">
        <f>IF($A76="","",SUMIF('4. STOCK OUT'!$B:$B,$A76,'4. STOCK OUT'!$E:$E))</f>
        <v>0</v>
      </c>
      <c r="F76" s="3">
        <f t="shared" si="1"/>
        <v>2</v>
      </c>
      <c r="G76" t="str">
        <f>IF($A76="","",IFERROR(IF($F76&lt;=0,"OUT OF STOCK",IF($F76&lt;=VLOOKUP($A76,'2. ITEM MASTER'!$A:$D,4,FALSE),"LOW STOCK","OK")),""))</f>
        <v>LOW STOCK</v>
      </c>
    </row>
    <row r="77" spans="1:7" x14ac:dyDescent="0.35">
      <c r="A77" t="str">
        <f>IF('2. ITEM MASTER'!A77="","",'2. ITEM MASTER'!A77)</f>
        <v>E-076</v>
      </c>
      <c r="B77" t="str">
        <f>IFERROR(VLOOKUP($A77,'2. ITEM MASTER'!$A:$D,2,FALSE),"")</f>
        <v>SOLAR PANEL</v>
      </c>
      <c r="C77" t="str">
        <f>IFERROR(VLOOKUP($A77,'2. ITEM MASTER'!$A:$D,3,FALSE),"")</f>
        <v>Electronics</v>
      </c>
      <c r="D77" s="3">
        <f>IF($A77="","",SUMIF('3. STOCK IN'!$B:$B,$A77,'3. STOCK IN'!$E:$E))</f>
        <v>60</v>
      </c>
      <c r="E77" s="3">
        <f>IF($A77="","",SUMIF('4. STOCK OUT'!$B:$B,$A77,'4. STOCK OUT'!$E:$E))</f>
        <v>0</v>
      </c>
      <c r="F77" s="3">
        <f t="shared" si="1"/>
        <v>60</v>
      </c>
      <c r="G77" t="str">
        <f>IF($A77="","",IFERROR(IF($F77&lt;=0,"OUT OF STOCK",IF($F77&lt;=VLOOKUP($A77,'2. ITEM MASTER'!$A:$D,4,FALSE),"LOW STOCK","OK")),""))</f>
        <v>OK</v>
      </c>
    </row>
    <row r="78" spans="1:7" x14ac:dyDescent="0.35">
      <c r="A78" t="str">
        <f>IF('2. ITEM MASTER'!A78="","",'2. ITEM MASTER'!A78)</f>
        <v>M-001</v>
      </c>
      <c r="B78" t="str">
        <f>IFERROR(VLOOKUP($A78,'2. ITEM MASTER'!$A:$D,2,FALSE),"")</f>
        <v>SS SHEET 3000X1500 1.2 MM</v>
      </c>
      <c r="C78" t="str">
        <f>IFERROR(VLOOKUP($A78,'2. ITEM MASTER'!$A:$D,3,FALSE),"")</f>
        <v>Mechanical</v>
      </c>
      <c r="D78" s="3">
        <f>IF($A78="","",SUMIF('3. STOCK IN'!$B:$B,$A78,'3. STOCK IN'!$E:$E))</f>
        <v>82</v>
      </c>
      <c r="E78" s="3">
        <f>IF($A78="","",SUMIF('4. STOCK OUT'!$B:$B,$A78,'4. STOCK OUT'!$E:$E))</f>
        <v>0</v>
      </c>
      <c r="F78" s="3">
        <f t="shared" si="1"/>
        <v>82</v>
      </c>
      <c r="G78" t="str">
        <f>IF($A78="","",IFERROR(IF($F78&lt;=0,"OUT OF STOCK",IF($F78&lt;=VLOOKUP($A78,'2. ITEM MASTER'!$A:$D,4,FALSE),"LOW STOCK","OK")),""))</f>
        <v>OK</v>
      </c>
    </row>
    <row r="79" spans="1:7" x14ac:dyDescent="0.35">
      <c r="A79" t="str">
        <f>IF('2. ITEM MASTER'!A79="","",'2. ITEM MASTER'!A79)</f>
        <v>M-002</v>
      </c>
      <c r="B79" t="str">
        <f>IFERROR(VLOOKUP($A79,'2. ITEM MASTER'!$A:$D,2,FALSE),"")</f>
        <v>SS SHEET 316 1500X2500 1.2MM</v>
      </c>
      <c r="C79" t="str">
        <f>IFERROR(VLOOKUP($A79,'2. ITEM MASTER'!$A:$D,3,FALSE),"")</f>
        <v>Mechanical</v>
      </c>
      <c r="D79" s="3">
        <f>IF($A79="","",SUMIF('3. STOCK IN'!$B:$B,$A79,'3. STOCK IN'!$E:$E))</f>
        <v>0</v>
      </c>
      <c r="E79" s="3">
        <f>IF($A79="","",SUMIF('4. STOCK OUT'!$B:$B,$A79,'4. STOCK OUT'!$E:$E))</f>
        <v>0</v>
      </c>
      <c r="F79" s="3">
        <f t="shared" si="1"/>
        <v>0</v>
      </c>
      <c r="G79" t="str">
        <f>IF($A79="","",IFERROR(IF($F79&lt;=0,"OUT OF STOCK",IF($F79&lt;=VLOOKUP($A79,'2. ITEM MASTER'!$A:$D,4,FALSE),"LOW STOCK","OK")),""))</f>
        <v>OUT OF STOCK</v>
      </c>
    </row>
    <row r="80" spans="1:7" x14ac:dyDescent="0.35">
      <c r="A80" t="str">
        <f>IF('2. ITEM MASTER'!A80="","",'2. ITEM MASTER'!A80)</f>
        <v>M-003</v>
      </c>
      <c r="B80" t="str">
        <f>IFERROR(VLOOKUP($A80,'2. ITEM MASTER'!$A:$D,2,FALSE),"")</f>
        <v>SS SHEET 316 1500X1800 1.2MM</v>
      </c>
      <c r="C80" t="str">
        <f>IFERROR(VLOOKUP($A80,'2. ITEM MASTER'!$A:$D,3,FALSE),"")</f>
        <v>Mechanical</v>
      </c>
      <c r="D80" s="3">
        <f>IF($A80="","",SUMIF('3. STOCK IN'!$B:$B,$A80,'3. STOCK IN'!$E:$E))</f>
        <v>0</v>
      </c>
      <c r="E80" s="3">
        <f>IF($A80="","",SUMIF('4. STOCK OUT'!$B:$B,$A80,'4. STOCK OUT'!$E:$E))</f>
        <v>0</v>
      </c>
      <c r="F80" s="3">
        <f t="shared" si="1"/>
        <v>0</v>
      </c>
      <c r="G80" t="str">
        <f>IF($A80="","",IFERROR(IF($F80&lt;=0,"OUT OF STOCK",IF($F80&lt;=VLOOKUP($A80,'2. ITEM MASTER'!$A:$D,4,FALSE),"LOW STOCK","OK")),""))</f>
        <v>OUT OF STOCK</v>
      </c>
    </row>
    <row r="81" spans="1:7" x14ac:dyDescent="0.35">
      <c r="A81" t="str">
        <f>IF('2. ITEM MASTER'!A81="","",'2. ITEM MASTER'!A81)</f>
        <v>M-004</v>
      </c>
      <c r="B81" t="str">
        <f>IFERROR(VLOOKUP($A81,'2. ITEM MASTER'!$A:$D,2,FALSE),"")</f>
        <v>SS SHEET 8X4 1MM</v>
      </c>
      <c r="C81" t="str">
        <f>IFERROR(VLOOKUP($A81,'2. ITEM MASTER'!$A:$D,3,FALSE),"")</f>
        <v>Mechanical</v>
      </c>
      <c r="D81" s="3">
        <f>IF($A81="","",SUMIF('3. STOCK IN'!$B:$B,$A81,'3. STOCK IN'!$E:$E))</f>
        <v>1</v>
      </c>
      <c r="E81" s="3">
        <f>IF($A81="","",SUMIF('4. STOCK OUT'!$B:$B,$A81,'4. STOCK OUT'!$E:$E))</f>
        <v>0</v>
      </c>
      <c r="F81" s="3">
        <f t="shared" si="1"/>
        <v>1</v>
      </c>
      <c r="G81" t="str">
        <f>IF($A81="","",IFERROR(IF($F81&lt;=0,"OUT OF STOCK",IF($F81&lt;=VLOOKUP($A81,'2. ITEM MASTER'!$A:$D,4,FALSE),"LOW STOCK","OK")),""))</f>
        <v>LOW STOCK</v>
      </c>
    </row>
    <row r="82" spans="1:7" x14ac:dyDescent="0.35">
      <c r="A82" t="str">
        <f>IF('2. ITEM MASTER'!A82="","",'2. ITEM MASTER'!A82)</f>
        <v>M-005</v>
      </c>
      <c r="B82" t="str">
        <f>IFERROR(VLOOKUP($A82,'2. ITEM MASTER'!$A:$D,2,FALSE),"")</f>
        <v>G I SHEET 8X4 1.2MM</v>
      </c>
      <c r="C82" t="str">
        <f>IFERROR(VLOOKUP($A82,'2. ITEM MASTER'!$A:$D,3,FALSE),"")</f>
        <v>Mechanical</v>
      </c>
      <c r="D82" s="3">
        <f>IF($A82="","",SUMIF('3. STOCK IN'!$B:$B,$A82,'3. STOCK IN'!$E:$E))</f>
        <v>1</v>
      </c>
      <c r="E82" s="3">
        <f>IF($A82="","",SUMIF('4. STOCK OUT'!$B:$B,$A82,'4. STOCK OUT'!$E:$E))</f>
        <v>0</v>
      </c>
      <c r="F82" s="3">
        <f t="shared" si="1"/>
        <v>1</v>
      </c>
      <c r="G82" t="str">
        <f>IF($A82="","",IFERROR(IF($F82&lt;=0,"OUT OF STOCK",IF($F82&lt;=VLOOKUP($A82,'2. ITEM MASTER'!$A:$D,4,FALSE),"LOW STOCK","OK")),""))</f>
        <v>LOW STOCK</v>
      </c>
    </row>
    <row r="83" spans="1:7" x14ac:dyDescent="0.35">
      <c r="A83" t="str">
        <f>IF('2. ITEM MASTER'!A83="","",'2. ITEM MASTER'!A83)</f>
        <v>M-006</v>
      </c>
      <c r="B83" t="str">
        <f>IFERROR(VLOOKUP($A83,'2. ITEM MASTER'!$A:$D,2,FALSE),"")</f>
        <v>ACP PANNEL SILVER 8X4</v>
      </c>
      <c r="C83" t="str">
        <f>IFERROR(VLOOKUP($A83,'2. ITEM MASTER'!$A:$D,3,FALSE),"")</f>
        <v>Mechanical</v>
      </c>
      <c r="D83" s="3">
        <f>IF($A83="","",SUMIF('3. STOCK IN'!$B:$B,$A83,'3. STOCK IN'!$E:$E))</f>
        <v>10</v>
      </c>
      <c r="E83" s="3">
        <f>IF($A83="","",SUMIF('4. STOCK OUT'!$B:$B,$A83,'4. STOCK OUT'!$E:$E))</f>
        <v>0</v>
      </c>
      <c r="F83" s="3">
        <f t="shared" si="1"/>
        <v>10</v>
      </c>
      <c r="G83" t="str">
        <f>IF($A83="","",IFERROR(IF($F83&lt;=0,"OUT OF STOCK",IF($F83&lt;=VLOOKUP($A83,'2. ITEM MASTER'!$A:$D,4,FALSE),"LOW STOCK","OK")),""))</f>
        <v>OK</v>
      </c>
    </row>
    <row r="84" spans="1:7" x14ac:dyDescent="0.35">
      <c r="A84" t="str">
        <f>IF('2. ITEM MASTER'!A84="","",'2. ITEM MASTER'!A84)</f>
        <v>M-007</v>
      </c>
      <c r="B84" t="str">
        <f>IFERROR(VLOOKUP($A84,'2. ITEM MASTER'!$A:$D,2,FALSE),"")</f>
        <v>ACP PANNEL SILVER 10X4</v>
      </c>
      <c r="C84" t="str">
        <f>IFERROR(VLOOKUP($A84,'2. ITEM MASTER'!$A:$D,3,FALSE),"")</f>
        <v>Mechanical</v>
      </c>
      <c r="D84" s="3">
        <f>IF($A84="","",SUMIF('3. STOCK IN'!$B:$B,$A84,'3. STOCK IN'!$E:$E))</f>
        <v>9</v>
      </c>
      <c r="E84" s="3">
        <f>IF($A84="","",SUMIF('4. STOCK OUT'!$B:$B,$A84,'4. STOCK OUT'!$E:$E))</f>
        <v>0</v>
      </c>
      <c r="F84" s="3">
        <f t="shared" si="1"/>
        <v>9</v>
      </c>
      <c r="G84" t="str">
        <f>IF($A84="","",IFERROR(IF($F84&lt;=0,"OUT OF STOCK",IF($F84&lt;=VLOOKUP($A84,'2. ITEM MASTER'!$A:$D,4,FALSE),"LOW STOCK","OK")),""))</f>
        <v>OK</v>
      </c>
    </row>
    <row r="85" spans="1:7" x14ac:dyDescent="0.35">
      <c r="A85" t="str">
        <f>IF('2. ITEM MASTER'!A85="","",'2. ITEM MASTER'!A85)</f>
        <v>M-008</v>
      </c>
      <c r="B85" t="str">
        <f>IFERROR(VLOOKUP($A85,'2. ITEM MASTER'!$A:$D,2,FALSE),"")</f>
        <v>AC PANNEL SILVER 12X4</v>
      </c>
      <c r="C85" t="str">
        <f>IFERROR(VLOOKUP($A85,'2. ITEM MASTER'!$A:$D,3,FALSE),"")</f>
        <v>Mechanical</v>
      </c>
      <c r="D85" s="3">
        <f>IF($A85="","",SUMIF('3. STOCK IN'!$B:$B,$A85,'3. STOCK IN'!$E:$E))</f>
        <v>8</v>
      </c>
      <c r="E85" s="3">
        <f>IF($A85="","",SUMIF('4. STOCK OUT'!$B:$B,$A85,'4. STOCK OUT'!$E:$E))</f>
        <v>0</v>
      </c>
      <c r="F85" s="3">
        <f t="shared" si="1"/>
        <v>8</v>
      </c>
      <c r="G85" t="str">
        <f>IF($A85="","",IFERROR(IF($F85&lt;=0,"OUT OF STOCK",IF($F85&lt;=VLOOKUP($A85,'2. ITEM MASTER'!$A:$D,4,FALSE),"LOW STOCK","OK")),""))</f>
        <v>OK</v>
      </c>
    </row>
    <row r="86" spans="1:7" x14ac:dyDescent="0.35">
      <c r="A86" t="str">
        <f>IF('2. ITEM MASTER'!A86="","",'2. ITEM MASTER'!A86)</f>
        <v>M-009</v>
      </c>
      <c r="B86" t="str">
        <f>IFERROR(VLOOKUP($A86,'2. ITEM MASTER'!$A:$D,2,FALSE),"")</f>
        <v>AC PANNEL BALCK 12X4</v>
      </c>
      <c r="C86" t="str">
        <f>IFERROR(VLOOKUP($A86,'2. ITEM MASTER'!$A:$D,3,FALSE),"")</f>
        <v>Mechanical</v>
      </c>
      <c r="D86" s="3">
        <f>IF($A86="","",SUMIF('3. STOCK IN'!$B:$B,$A86,'3. STOCK IN'!$E:$E))</f>
        <v>5</v>
      </c>
      <c r="E86" s="3">
        <f>IF($A86="","",SUMIF('4. STOCK OUT'!$B:$B,$A86,'4. STOCK OUT'!$E:$E))</f>
        <v>0</v>
      </c>
      <c r="F86" s="3">
        <f t="shared" si="1"/>
        <v>5</v>
      </c>
      <c r="G86" t="str">
        <f>IF($A86="","",IFERROR(IF($F86&lt;=0,"OUT OF STOCK",IF($F86&lt;=VLOOKUP($A86,'2. ITEM MASTER'!$A:$D,4,FALSE),"LOW STOCK","OK")),""))</f>
        <v>LOW STOCK</v>
      </c>
    </row>
    <row r="87" spans="1:7" x14ac:dyDescent="0.35">
      <c r="A87" t="str">
        <f>IF('2. ITEM MASTER'!A87="","",'2. ITEM MASTER'!A87)</f>
        <v>M-010</v>
      </c>
      <c r="B87" t="str">
        <f>IFERROR(VLOOKUP($A87,'2. ITEM MASTER'!$A:$D,2,FALSE),"")</f>
        <v>GI PIPE 50X50 1.6 MM</v>
      </c>
      <c r="C87" t="str">
        <f>IFERROR(VLOOKUP($A87,'2. ITEM MASTER'!$A:$D,3,FALSE),"")</f>
        <v>Mechanical</v>
      </c>
      <c r="D87" s="3">
        <f>IF($A87="","",SUMIF('3. STOCK IN'!$B:$B,$A87,'3. STOCK IN'!$E:$E))</f>
        <v>3</v>
      </c>
      <c r="E87" s="3">
        <f>IF($A87="","",SUMIF('4. STOCK OUT'!$B:$B,$A87,'4. STOCK OUT'!$E:$E))</f>
        <v>0</v>
      </c>
      <c r="F87" s="3">
        <f t="shared" si="1"/>
        <v>3</v>
      </c>
      <c r="G87" t="str">
        <f>IF($A87="","",IFERROR(IF($F87&lt;=0,"OUT OF STOCK",IF($F87&lt;=VLOOKUP($A87,'2. ITEM MASTER'!$A:$D,4,FALSE),"LOW STOCK","OK")),""))</f>
        <v>LOW STOCK</v>
      </c>
    </row>
    <row r="88" spans="1:7" x14ac:dyDescent="0.35">
      <c r="A88" t="str">
        <f>IF('2. ITEM MASTER'!A88="","",'2. ITEM MASTER'!A88)</f>
        <v>M-011</v>
      </c>
      <c r="B88" t="str">
        <f>IFERROR(VLOOKUP($A88,'2. ITEM MASTER'!$A:$D,2,FALSE),"")</f>
        <v>GI PIPE 40X40 1.2MM</v>
      </c>
      <c r="C88" t="str">
        <f>IFERROR(VLOOKUP($A88,'2. ITEM MASTER'!$A:$D,3,FALSE),"")</f>
        <v>Mechanical</v>
      </c>
      <c r="D88" s="3">
        <f>IF($A88="","",SUMIF('3. STOCK IN'!$B:$B,$A88,'3. STOCK IN'!$E:$E))</f>
        <v>2</v>
      </c>
      <c r="E88" s="3">
        <f>IF($A88="","",SUMIF('4. STOCK OUT'!$B:$B,$A88,'4. STOCK OUT'!$E:$E))</f>
        <v>0</v>
      </c>
      <c r="F88" s="3">
        <f t="shared" si="1"/>
        <v>2</v>
      </c>
      <c r="G88" t="str">
        <f>IF($A88="","",IFERROR(IF($F88&lt;=0,"OUT OF STOCK",IF($F88&lt;=VLOOKUP($A88,'2. ITEM MASTER'!$A:$D,4,FALSE),"LOW STOCK","OK")),""))</f>
        <v>LOW STOCK</v>
      </c>
    </row>
    <row r="89" spans="1:7" x14ac:dyDescent="0.35">
      <c r="A89" t="str">
        <f>IF('2. ITEM MASTER'!A89="","",'2. ITEM MASTER'!A89)</f>
        <v>M-012</v>
      </c>
      <c r="B89" t="str">
        <f>IFERROR(VLOOKUP($A89,'2. ITEM MASTER'!$A:$D,2,FALSE),"")</f>
        <v>GI PIPE 25X25 1.2 MM</v>
      </c>
      <c r="C89" t="str">
        <f>IFERROR(VLOOKUP($A89,'2. ITEM MASTER'!$A:$D,3,FALSE),"")</f>
        <v>Mechanical</v>
      </c>
      <c r="D89" s="3">
        <f>IF($A89="","",SUMIF('3. STOCK IN'!$B:$B,$A89,'3. STOCK IN'!$E:$E))</f>
        <v>17</v>
      </c>
      <c r="E89" s="3">
        <f>IF($A89="","",SUMIF('4. STOCK OUT'!$B:$B,$A89,'4. STOCK OUT'!$E:$E))</f>
        <v>0</v>
      </c>
      <c r="F89" s="3">
        <f t="shared" si="1"/>
        <v>17</v>
      </c>
      <c r="G89" t="str">
        <f>IF($A89="","",IFERROR(IF($F89&lt;=0,"OUT OF STOCK",IF($F89&lt;=VLOOKUP($A89,'2. ITEM MASTER'!$A:$D,4,FALSE),"LOW STOCK","OK")),""))</f>
        <v>OK</v>
      </c>
    </row>
    <row r="90" spans="1:7" x14ac:dyDescent="0.35">
      <c r="A90" t="str">
        <f>IF('2. ITEM MASTER'!A90="","",'2. ITEM MASTER'!A90)</f>
        <v>M-013</v>
      </c>
      <c r="B90" t="str">
        <f>IFERROR(VLOOKUP($A90,'2. ITEM MASTER'!$A:$D,2,FALSE),"")</f>
        <v>GI PIPE 20X20 1.2MM</v>
      </c>
      <c r="C90" t="str">
        <f>IFERROR(VLOOKUP($A90,'2. ITEM MASTER'!$A:$D,3,FALSE),"")</f>
        <v>Mechanical</v>
      </c>
      <c r="D90" s="3">
        <f>IF($A90="","",SUMIF('3. STOCK IN'!$B:$B,$A90,'3. STOCK IN'!$E:$E))</f>
        <v>0</v>
      </c>
      <c r="E90" s="3">
        <f>IF($A90="","",SUMIF('4. STOCK OUT'!$B:$B,$A90,'4. STOCK OUT'!$E:$E))</f>
        <v>0</v>
      </c>
      <c r="F90" s="3">
        <f t="shared" si="1"/>
        <v>0</v>
      </c>
      <c r="G90" t="str">
        <f>IF($A90="","",IFERROR(IF($F90&lt;=0,"OUT OF STOCK",IF($F90&lt;=VLOOKUP($A90,'2. ITEM MASTER'!$A:$D,4,FALSE),"LOW STOCK","OK")),""))</f>
        <v>OUT OF STOCK</v>
      </c>
    </row>
    <row r="91" spans="1:7" x14ac:dyDescent="0.35">
      <c r="A91" t="str">
        <f>IF('2. ITEM MASTER'!A91="","",'2. ITEM MASTER'!A91)</f>
        <v>M-014</v>
      </c>
      <c r="B91" t="str">
        <f>IFERROR(VLOOKUP($A91,'2. ITEM MASTER'!$A:$D,2,FALSE),"")</f>
        <v>GI PIPE 25X50 1.2 MM</v>
      </c>
      <c r="C91" t="str">
        <f>IFERROR(VLOOKUP($A91,'2. ITEM MASTER'!$A:$D,3,FALSE),"")</f>
        <v>Mechanical</v>
      </c>
      <c r="D91" s="3">
        <f>IF($A91="","",SUMIF('3. STOCK IN'!$B:$B,$A91,'3. STOCK IN'!$E:$E))</f>
        <v>5</v>
      </c>
      <c r="E91" s="3">
        <f>IF($A91="","",SUMIF('4. STOCK OUT'!$B:$B,$A91,'4. STOCK OUT'!$E:$E))</f>
        <v>0</v>
      </c>
      <c r="F91" s="3">
        <f t="shared" si="1"/>
        <v>5</v>
      </c>
      <c r="G91" t="str">
        <f>IF($A91="","",IFERROR(IF($F91&lt;=0,"OUT OF STOCK",IF($F91&lt;=VLOOKUP($A91,'2. ITEM MASTER'!$A:$D,4,FALSE),"LOW STOCK","OK")),""))</f>
        <v>LOW STOCK</v>
      </c>
    </row>
    <row r="92" spans="1:7" x14ac:dyDescent="0.35">
      <c r="A92" t="str">
        <f>IF('2. ITEM MASTER'!A92="","",'2. ITEM MASTER'!A92)</f>
        <v>M-015</v>
      </c>
      <c r="B92" t="str">
        <f>IFERROR(VLOOKUP($A92,'2. ITEM MASTER'!$A:$D,2,FALSE),"")</f>
        <v>M/S PIPE 20X20 1.2 MM</v>
      </c>
      <c r="C92" t="str">
        <f>IFERROR(VLOOKUP($A92,'2. ITEM MASTER'!$A:$D,3,FALSE),"")</f>
        <v>Mechanical</v>
      </c>
      <c r="D92" s="3">
        <f>IF($A92="","",SUMIF('3. STOCK IN'!$B:$B,$A92,'3. STOCK IN'!$E:$E))</f>
        <v>0</v>
      </c>
      <c r="E92" s="3">
        <f>IF($A92="","",SUMIF('4. STOCK OUT'!$B:$B,$A92,'4. STOCK OUT'!$E:$E))</f>
        <v>0</v>
      </c>
      <c r="F92" s="3">
        <f t="shared" si="1"/>
        <v>0</v>
      </c>
      <c r="G92" t="str">
        <f>IF($A92="","",IFERROR(IF($F92&lt;=0,"OUT OF STOCK",IF($F92&lt;=VLOOKUP($A92,'2. ITEM MASTER'!$A:$D,4,FALSE),"LOW STOCK","OK")),""))</f>
        <v>OUT OF STOCK</v>
      </c>
    </row>
    <row r="93" spans="1:7" x14ac:dyDescent="0.35">
      <c r="A93" t="str">
        <f>IF('2. ITEM MASTER'!A93="","",'2. ITEM MASTER'!A93)</f>
        <v>M-016</v>
      </c>
      <c r="B93" t="str">
        <f>IFERROR(VLOOKUP($A93,'2. ITEM MASTER'!$A:$D,2,FALSE),"")</f>
        <v>SS PIPE 50X50 1.5MM</v>
      </c>
      <c r="C93" t="str">
        <f>IFERROR(VLOOKUP($A93,'2. ITEM MASTER'!$A:$D,3,FALSE),"")</f>
        <v>Mechanical</v>
      </c>
      <c r="D93" s="3">
        <f>IF($A93="","",SUMIF('3. STOCK IN'!$B:$B,$A93,'3. STOCK IN'!$E:$E))</f>
        <v>4</v>
      </c>
      <c r="E93" s="3">
        <f>IF($A93="","",SUMIF('4. STOCK OUT'!$B:$B,$A93,'4. STOCK OUT'!$E:$E))</f>
        <v>0</v>
      </c>
      <c r="F93" s="3">
        <f t="shared" si="1"/>
        <v>4</v>
      </c>
      <c r="G93" t="str">
        <f>IF($A93="","",IFERROR(IF($F93&lt;=0,"OUT OF STOCK",IF($F93&lt;=VLOOKUP($A93,'2. ITEM MASTER'!$A:$D,4,FALSE),"LOW STOCK","OK")),""))</f>
        <v>LOW STOCK</v>
      </c>
    </row>
    <row r="94" spans="1:7" x14ac:dyDescent="0.35">
      <c r="A94" t="str">
        <f>IF('2. ITEM MASTER'!A94="","",'2. ITEM MASTER'!A94)</f>
        <v>M-017</v>
      </c>
      <c r="B94" t="str">
        <f>IFERROR(VLOOKUP($A94,'2. ITEM MASTER'!$A:$D,2,FALSE),"")</f>
        <v>SS PIPE 316 50X50 1.5MM</v>
      </c>
      <c r="C94" t="str">
        <f>IFERROR(VLOOKUP($A94,'2. ITEM MASTER'!$A:$D,3,FALSE),"")</f>
        <v>Mechanical</v>
      </c>
      <c r="D94" s="3">
        <f>IF($A94="","",SUMIF('3. STOCK IN'!$B:$B,$A94,'3. STOCK IN'!$E:$E))</f>
        <v>0</v>
      </c>
      <c r="E94" s="3">
        <f>IF($A94="","",SUMIF('4. STOCK OUT'!$B:$B,$A94,'4. STOCK OUT'!$E:$E))</f>
        <v>0</v>
      </c>
      <c r="F94" s="3">
        <f t="shared" si="1"/>
        <v>0</v>
      </c>
      <c r="G94" t="str">
        <f>IF($A94="","",IFERROR(IF($F94&lt;=0,"OUT OF STOCK",IF($F94&lt;=VLOOKUP($A94,'2. ITEM MASTER'!$A:$D,4,FALSE),"LOW STOCK","OK")),""))</f>
        <v>OUT OF STOCK</v>
      </c>
    </row>
    <row r="95" spans="1:7" x14ac:dyDescent="0.35">
      <c r="A95" t="str">
        <f>IF('2. ITEM MASTER'!A95="","",'2. ITEM MASTER'!A95)</f>
        <v>M-018</v>
      </c>
      <c r="B95" t="str">
        <f>IFERROR(VLOOKUP($A95,'2. ITEM MASTER'!$A:$D,2,FALSE),"")</f>
        <v>SS ROUND PIPE 316 50'1.2MM</v>
      </c>
      <c r="C95" t="str">
        <f>IFERROR(VLOOKUP($A95,'2. ITEM MASTER'!$A:$D,3,FALSE),"")</f>
        <v>Mechanical</v>
      </c>
      <c r="D95" s="3">
        <f>IF($A95="","",SUMIF('3. STOCK IN'!$B:$B,$A95,'3. STOCK IN'!$E:$E))</f>
        <v>0</v>
      </c>
      <c r="E95" s="3">
        <f>IF($A95="","",SUMIF('4. STOCK OUT'!$B:$B,$A95,'4. STOCK OUT'!$E:$E))</f>
        <v>0</v>
      </c>
      <c r="F95" s="3">
        <f t="shared" si="1"/>
        <v>0</v>
      </c>
      <c r="G95" t="str">
        <f>IF($A95="","",IFERROR(IF($F95&lt;=0,"OUT OF STOCK",IF($F95&lt;=VLOOKUP($A95,'2. ITEM MASTER'!$A:$D,4,FALSE),"LOW STOCK","OK")),""))</f>
        <v>OUT OF STOCK</v>
      </c>
    </row>
    <row r="96" spans="1:7" x14ac:dyDescent="0.35">
      <c r="A96" t="str">
        <f>IF('2. ITEM MASTER'!A96="","",'2. ITEM MASTER'!A96)</f>
        <v>M-019</v>
      </c>
      <c r="B96" t="str">
        <f>IFERROR(VLOOKUP($A96,'2. ITEM MASTER'!$A:$D,2,FALSE),"")</f>
        <v>SS PIPE 20X20 1.2 MM</v>
      </c>
      <c r="C96" t="str">
        <f>IFERROR(VLOOKUP($A96,'2. ITEM MASTER'!$A:$D,3,FALSE),"")</f>
        <v>Mechanical</v>
      </c>
      <c r="D96" s="3">
        <f>IF($A96="","",SUMIF('3. STOCK IN'!$B:$B,$A96,'3. STOCK IN'!$E:$E))</f>
        <v>24</v>
      </c>
      <c r="E96" s="3">
        <f>IF($A96="","",SUMIF('4. STOCK OUT'!$B:$B,$A96,'4. STOCK OUT'!$E:$E))</f>
        <v>0</v>
      </c>
      <c r="F96" s="3">
        <f t="shared" si="1"/>
        <v>24</v>
      </c>
      <c r="G96" t="str">
        <f>IF($A96="","",IFERROR(IF($F96&lt;=0,"OUT OF STOCK",IF($F96&lt;=VLOOKUP($A96,'2. ITEM MASTER'!$A:$D,4,FALSE),"LOW STOCK","OK")),""))</f>
        <v>OK</v>
      </c>
    </row>
    <row r="97" spans="1:7" x14ac:dyDescent="0.35">
      <c r="A97" t="str">
        <f>IF('2. ITEM MASTER'!A97="","",'2. ITEM MASTER'!A97)</f>
        <v>M-020</v>
      </c>
      <c r="B97" t="str">
        <f>IFERROR(VLOOKUP($A97,'2. ITEM MASTER'!$A:$D,2,FALSE),"")</f>
        <v>SS PIPE ROUND 50 1.2MM</v>
      </c>
      <c r="C97" t="str">
        <f>IFERROR(VLOOKUP($A97,'2. ITEM MASTER'!$A:$D,3,FALSE),"")</f>
        <v>Mechanical</v>
      </c>
      <c r="D97" s="3">
        <f>IF($A97="","",SUMIF('3. STOCK IN'!$B:$B,$A97,'3. STOCK IN'!$E:$E))</f>
        <v>15</v>
      </c>
      <c r="E97" s="3">
        <f>IF($A97="","",SUMIF('4. STOCK OUT'!$B:$B,$A97,'4. STOCK OUT'!$E:$E))</f>
        <v>0</v>
      </c>
      <c r="F97" s="3">
        <f t="shared" si="1"/>
        <v>15</v>
      </c>
      <c r="G97" t="str">
        <f>IF($A97="","",IFERROR(IF($F97&lt;=0,"OUT OF STOCK",IF($F97&lt;=VLOOKUP($A97,'2. ITEM MASTER'!$A:$D,4,FALSE),"LOW STOCK","OK")),""))</f>
        <v>OK</v>
      </c>
    </row>
    <row r="98" spans="1:7" x14ac:dyDescent="0.35">
      <c r="A98" t="str">
        <f>IF('2. ITEM MASTER'!A98="","",'2. ITEM MASTER'!A98)</f>
        <v>M-021</v>
      </c>
      <c r="B98" t="str">
        <f>IFERROR(VLOOKUP($A98,'2. ITEM MASTER'!$A:$D,2,FALSE),"")</f>
        <v>SS 50 MM ELBOW</v>
      </c>
      <c r="C98" t="str">
        <f>IFERROR(VLOOKUP($A98,'2. ITEM MASTER'!$A:$D,3,FALSE),"")</f>
        <v>Mechanical</v>
      </c>
      <c r="D98" s="3">
        <f>IF($A98="","",SUMIF('3. STOCK IN'!$B:$B,$A98,'3. STOCK IN'!$E:$E))</f>
        <v>5</v>
      </c>
      <c r="E98" s="3">
        <f>IF($A98="","",SUMIF('4. STOCK OUT'!$B:$B,$A98,'4. STOCK OUT'!$E:$E))</f>
        <v>0</v>
      </c>
      <c r="F98" s="3">
        <f t="shared" si="1"/>
        <v>5</v>
      </c>
      <c r="G98" t="str">
        <f>IF($A98="","",IFERROR(IF($F98&lt;=0,"OUT OF STOCK",IF($F98&lt;=VLOOKUP($A98,'2. ITEM MASTER'!$A:$D,4,FALSE),"LOW STOCK","OK")),""))</f>
        <v>LOW STOCK</v>
      </c>
    </row>
    <row r="99" spans="1:7" x14ac:dyDescent="0.35">
      <c r="A99" t="str">
        <f>IF('2. ITEM MASTER'!A99="","",'2. ITEM MASTER'!A99)</f>
        <v>M-022</v>
      </c>
      <c r="B99" t="str">
        <f>IFERROR(VLOOKUP($A99,'2. ITEM MASTER'!$A:$D,2,FALSE),"")</f>
        <v>SS ELBOW 316 50MM</v>
      </c>
      <c r="C99" t="str">
        <f>IFERROR(VLOOKUP($A99,'2. ITEM MASTER'!$A:$D,3,FALSE),"")</f>
        <v>Mechanical</v>
      </c>
      <c r="D99" s="3">
        <f>IF($A99="","",SUMIF('3. STOCK IN'!$B:$B,$A99,'3. STOCK IN'!$E:$E))</f>
        <v>0</v>
      </c>
      <c r="E99" s="3">
        <f>IF($A99="","",SUMIF('4. STOCK OUT'!$B:$B,$A99,'4. STOCK OUT'!$E:$E))</f>
        <v>0</v>
      </c>
      <c r="F99" s="3">
        <f t="shared" si="1"/>
        <v>0</v>
      </c>
      <c r="G99" t="str">
        <f>IF($A99="","",IFERROR(IF($F99&lt;=0,"OUT OF STOCK",IF($F99&lt;=VLOOKUP($A99,'2. ITEM MASTER'!$A:$D,4,FALSE),"LOW STOCK","OK")),""))</f>
        <v>OUT OF STOCK</v>
      </c>
    </row>
    <row r="100" spans="1:7" x14ac:dyDescent="0.35">
      <c r="A100" t="str">
        <f>IF('2. ITEM MASTER'!A100="","",'2. ITEM MASTER'!A100)</f>
        <v>M-023</v>
      </c>
      <c r="B100" t="str">
        <f>IFERROR(VLOOKUP($A100,'2. ITEM MASTER'!$A:$D,2,FALSE),"")</f>
        <v>SS CANCIL 316 50MM</v>
      </c>
      <c r="C100" t="str">
        <f>IFERROR(VLOOKUP($A100,'2. ITEM MASTER'!$A:$D,3,FALSE),"")</f>
        <v>Mechanical</v>
      </c>
      <c r="D100" s="3">
        <f>IF($A100="","",SUMIF('3. STOCK IN'!$B:$B,$A100,'3. STOCK IN'!$E:$E))</f>
        <v>0</v>
      </c>
      <c r="E100" s="3">
        <f>IF($A100="","",SUMIF('4. STOCK OUT'!$B:$B,$A100,'4. STOCK OUT'!$E:$E))</f>
        <v>0</v>
      </c>
      <c r="F100" s="3">
        <f t="shared" si="1"/>
        <v>0</v>
      </c>
      <c r="G100" t="str">
        <f>IF($A100="","",IFERROR(IF($F100&lt;=0,"OUT OF STOCK",IF($F100&lt;=VLOOKUP($A100,'2. ITEM MASTER'!$A:$D,4,FALSE),"LOW STOCK","OK")),""))</f>
        <v>OUT OF STOCK</v>
      </c>
    </row>
    <row r="101" spans="1:7" x14ac:dyDescent="0.35">
      <c r="A101" t="str">
        <f>IF('2. ITEM MASTER'!A101="","",'2. ITEM MASTER'!A101)</f>
        <v>M-024</v>
      </c>
      <c r="B101" t="str">
        <f>IFERROR(VLOOKUP($A101,'2. ITEM MASTER'!$A:$D,2,FALSE),"")</f>
        <v>SS 50MM CANSHIL</v>
      </c>
      <c r="C101" t="str">
        <f>IFERROR(VLOOKUP($A101,'2. ITEM MASTER'!$A:$D,3,FALSE),"")</f>
        <v>Mechanical</v>
      </c>
      <c r="D101" s="3">
        <f>IF($A101="","",SUMIF('3. STOCK IN'!$B:$B,$A101,'3. STOCK IN'!$E:$E))</f>
        <v>5</v>
      </c>
      <c r="E101" s="3">
        <f>IF($A101="","",SUMIF('4. STOCK OUT'!$B:$B,$A101,'4. STOCK OUT'!$E:$E))</f>
        <v>0</v>
      </c>
      <c r="F101" s="3">
        <f t="shared" si="1"/>
        <v>5</v>
      </c>
      <c r="G101" t="str">
        <f>IF($A101="","",IFERROR(IF($F101&lt;=0,"OUT OF STOCK",IF($F101&lt;=VLOOKUP($A101,'2. ITEM MASTER'!$A:$D,4,FALSE),"LOW STOCK","OK")),""))</f>
        <v>LOW STOCK</v>
      </c>
    </row>
    <row r="102" spans="1:7" x14ac:dyDescent="0.35">
      <c r="A102" t="str">
        <f>IF('2. ITEM MASTER'!A102="","",'2. ITEM MASTER'!A102)</f>
        <v>M-025</v>
      </c>
      <c r="B102" t="str">
        <f>IFERROR(VLOOKUP($A102,'2. ITEM MASTER'!$A:$D,2,FALSE),"")</f>
        <v>BODY LOCK DOOR</v>
      </c>
      <c r="C102" t="str">
        <f>IFERROR(VLOOKUP($A102,'2. ITEM MASTER'!$A:$D,3,FALSE),"")</f>
        <v>Mechanical</v>
      </c>
      <c r="D102" s="3">
        <f>IF($A102="","",SUMIF('3. STOCK IN'!$B:$B,$A102,'3. STOCK IN'!$E:$E))</f>
        <v>51</v>
      </c>
      <c r="E102" s="3">
        <f>IF($A102="","",SUMIF('4. STOCK OUT'!$B:$B,$A102,'4. STOCK OUT'!$E:$E))</f>
        <v>0</v>
      </c>
      <c r="F102" s="3">
        <f t="shared" si="1"/>
        <v>51</v>
      </c>
      <c r="G102" t="str">
        <f>IF($A102="","",IFERROR(IF($F102&lt;=0,"OUT OF STOCK",IF($F102&lt;=VLOOKUP($A102,'2. ITEM MASTER'!$A:$D,4,FALSE),"LOW STOCK","OK")),""))</f>
        <v>OK</v>
      </c>
    </row>
    <row r="103" spans="1:7" x14ac:dyDescent="0.35">
      <c r="A103" t="str">
        <f>IF('2. ITEM MASTER'!A103="","",'2. ITEM MASTER'!A103)</f>
        <v>M-026</v>
      </c>
      <c r="B103" t="str">
        <f>IFERROR(VLOOKUP($A103,'2. ITEM MASTER'!$A:$D,2,FALSE),"")</f>
        <v>TOWER BOLT</v>
      </c>
      <c r="C103" t="str">
        <f>IFERROR(VLOOKUP($A103,'2. ITEM MASTER'!$A:$D,3,FALSE),"")</f>
        <v>Mechanical</v>
      </c>
      <c r="D103" s="3">
        <f>IF($A103="","",SUMIF('3. STOCK IN'!$B:$B,$A103,'3. STOCK IN'!$E:$E))</f>
        <v>14</v>
      </c>
      <c r="E103" s="3">
        <f>IF($A103="","",SUMIF('4. STOCK OUT'!$B:$B,$A103,'4. STOCK OUT'!$E:$E))</f>
        <v>0</v>
      </c>
      <c r="F103" s="3">
        <f t="shared" si="1"/>
        <v>14</v>
      </c>
      <c r="G103" t="str">
        <f>IF($A103="","",IFERROR(IF($F103&lt;=0,"OUT OF STOCK",IF($F103&lt;=VLOOKUP($A103,'2. ITEM MASTER'!$A:$D,4,FALSE),"LOW STOCK","OK")),""))</f>
        <v>OK</v>
      </c>
    </row>
    <row r="104" spans="1:7" x14ac:dyDescent="0.35">
      <c r="A104" t="str">
        <f>IF('2. ITEM MASTER'!A104="","",'2. ITEM MASTER'!A104)</f>
        <v>M-027</v>
      </c>
      <c r="B104" t="str">
        <f>IFERROR(VLOOKUP($A104,'2. ITEM MASTER'!$A:$D,2,FALSE),"")</f>
        <v>PANAL LOCK</v>
      </c>
      <c r="C104" t="str">
        <f>IFERROR(VLOOKUP($A104,'2. ITEM MASTER'!$A:$D,3,FALSE),"")</f>
        <v>Mechanical</v>
      </c>
      <c r="D104" s="3">
        <f>IF($A104="","",SUMIF('3. STOCK IN'!$B:$B,$A104,'3. STOCK IN'!$E:$E))</f>
        <v>50</v>
      </c>
      <c r="E104" s="3">
        <f>IF($A104="","",SUMIF('4. STOCK OUT'!$B:$B,$A104,'4. STOCK OUT'!$E:$E))</f>
        <v>0</v>
      </c>
      <c r="F104" s="3">
        <f t="shared" si="1"/>
        <v>50</v>
      </c>
      <c r="G104" t="str">
        <f>IF($A104="","",IFERROR(IF($F104&lt;=0,"OUT OF STOCK",IF($F104&lt;=VLOOKUP($A104,'2. ITEM MASTER'!$A:$D,4,FALSE),"LOW STOCK","OK")),""))</f>
        <v>OK</v>
      </c>
    </row>
    <row r="105" spans="1:7" x14ac:dyDescent="0.35">
      <c r="A105" t="str">
        <f>IF('2. ITEM MASTER'!A105="","",'2. ITEM MASTER'!A105)</f>
        <v>M-028</v>
      </c>
      <c r="B105" t="str">
        <f>IFERROR(VLOOKUP($A105,'2. ITEM MASTER'!$A:$D,2,FALSE),"")</f>
        <v>SS HANDLE 8 INCH</v>
      </c>
      <c r="C105" t="str">
        <f>IFERROR(VLOOKUP($A105,'2. ITEM MASTER'!$A:$D,3,FALSE),"")</f>
        <v>Mechanical</v>
      </c>
      <c r="D105" s="3">
        <f>IF($A105="","",SUMIF('3. STOCK IN'!$B:$B,$A105,'3. STOCK IN'!$E:$E))</f>
        <v>27</v>
      </c>
      <c r="E105" s="3">
        <f>IF($A105="","",SUMIF('4. STOCK OUT'!$B:$B,$A105,'4. STOCK OUT'!$E:$E))</f>
        <v>0</v>
      </c>
      <c r="F105" s="3">
        <f t="shared" si="1"/>
        <v>27</v>
      </c>
      <c r="G105" t="str">
        <f>IF($A105="","",IFERROR(IF($F105&lt;=0,"OUT OF STOCK",IF($F105&lt;=VLOOKUP($A105,'2. ITEM MASTER'!$A:$D,4,FALSE),"LOW STOCK","OK")),""))</f>
        <v>OK</v>
      </c>
    </row>
    <row r="106" spans="1:7" x14ac:dyDescent="0.35">
      <c r="A106" t="str">
        <f>IF('2. ITEM MASTER'!A106="","",'2. ITEM MASTER'!A106)</f>
        <v>M-029</v>
      </c>
      <c r="B106" t="str">
        <f>IFERROR(VLOOKUP($A106,'2. ITEM MASTER'!$A:$D,2,FALSE),"")</f>
        <v>SS HANDLE BIG</v>
      </c>
      <c r="C106" t="str">
        <f>IFERROR(VLOOKUP($A106,'2. ITEM MASTER'!$A:$D,3,FALSE),"")</f>
        <v>Mechanical</v>
      </c>
      <c r="D106" s="3">
        <f>IF($A106="","",SUMIF('3. STOCK IN'!$B:$B,$A106,'3. STOCK IN'!$E:$E))</f>
        <v>0</v>
      </c>
      <c r="E106" s="3">
        <f>IF($A106="","",SUMIF('4. STOCK OUT'!$B:$B,$A106,'4. STOCK OUT'!$E:$E))</f>
        <v>0</v>
      </c>
      <c r="F106" s="3">
        <f t="shared" si="1"/>
        <v>0</v>
      </c>
      <c r="G106" t="str">
        <f>IF($A106="","",IFERROR(IF($F106&lt;=0,"OUT OF STOCK",IF($F106&lt;=VLOOKUP($A106,'2. ITEM MASTER'!$A:$D,4,FALSE),"LOW STOCK","OK")),""))</f>
        <v>OUT OF STOCK</v>
      </c>
    </row>
    <row r="107" spans="1:7" x14ac:dyDescent="0.35">
      <c r="A107" t="str">
        <f>IF('2. ITEM MASTER'!A107="","",'2. ITEM MASTER'!A107)</f>
        <v>M-030</v>
      </c>
      <c r="B107" t="str">
        <f>IFERROR(VLOOKUP($A107,'2. ITEM MASTER'!$A:$D,2,FALSE),"")</f>
        <v>TEE CP 0.5 BRASS</v>
      </c>
      <c r="C107" t="str">
        <f>IFERROR(VLOOKUP($A107,'2. ITEM MASTER'!$A:$D,3,FALSE),"")</f>
        <v>Mechanical</v>
      </c>
      <c r="D107" s="3">
        <f>IF($A107="","",SUMIF('3. STOCK IN'!$B:$B,$A107,'3. STOCK IN'!$E:$E))</f>
        <v>0</v>
      </c>
      <c r="E107" s="3">
        <f>IF($A107="","",SUMIF('4. STOCK OUT'!$B:$B,$A107,'4. STOCK OUT'!$E:$E))</f>
        <v>0</v>
      </c>
      <c r="F107" s="3">
        <f t="shared" si="1"/>
        <v>0</v>
      </c>
      <c r="G107" t="str">
        <f>IF($A107="","",IFERROR(IF($F107&lt;=0,"OUT OF STOCK",IF($F107&lt;=VLOOKUP($A107,'2. ITEM MASTER'!$A:$D,4,FALSE),"LOW STOCK","OK")),""))</f>
        <v>OUT OF STOCK</v>
      </c>
    </row>
    <row r="108" spans="1:7" x14ac:dyDescent="0.35">
      <c r="A108" t="str">
        <f>IF('2. ITEM MASTER'!A108="","",'2. ITEM MASTER'!A108)</f>
        <v>M-031</v>
      </c>
      <c r="B108" t="str">
        <f>IFERROR(VLOOKUP($A108,'2. ITEM MASTER'!$A:$D,2,FALSE),"")</f>
        <v>FLUSH PATTI</v>
      </c>
      <c r="C108" t="str">
        <f>IFERROR(VLOOKUP($A108,'2. ITEM MASTER'!$A:$D,3,FALSE),"")</f>
        <v>Mechanical</v>
      </c>
      <c r="D108" s="3">
        <f>IF($A108="","",SUMIF('3. STOCK IN'!$B:$B,$A108,'3. STOCK IN'!$E:$E))</f>
        <v>0</v>
      </c>
      <c r="E108" s="3">
        <f>IF($A108="","",SUMIF('4. STOCK OUT'!$B:$B,$A108,'4. STOCK OUT'!$E:$E))</f>
        <v>0</v>
      </c>
      <c r="F108" s="3">
        <f t="shared" si="1"/>
        <v>0</v>
      </c>
      <c r="G108" t="str">
        <f>IF($A108="","",IFERROR(IF($F108&lt;=0,"OUT OF STOCK",IF($F108&lt;=VLOOKUP($A108,'2. ITEM MASTER'!$A:$D,4,FALSE),"LOW STOCK","OK")),""))</f>
        <v>OUT OF STOCK</v>
      </c>
    </row>
    <row r="109" spans="1:7" x14ac:dyDescent="0.35">
      <c r="A109" t="str">
        <f>IF('2. ITEM MASTER'!A109="","",'2. ITEM MASTER'!A109)</f>
        <v>M-032</v>
      </c>
      <c r="B109" t="str">
        <f>IFERROR(VLOOKUP($A109,'2. ITEM MASTER'!$A:$D,2,FALSE),"")</f>
        <v>INDIAN LAVATORY PAN</v>
      </c>
      <c r="C109" t="str">
        <f>IFERROR(VLOOKUP($A109,'2. ITEM MASTER'!$A:$D,3,FALSE),"")</f>
        <v>Mechanical</v>
      </c>
      <c r="D109" s="3">
        <f>IF($A109="","",SUMIF('3. STOCK IN'!$B:$B,$A109,'3. STOCK IN'!$E:$E))</f>
        <v>27</v>
      </c>
      <c r="E109" s="3">
        <f>IF($A109="","",SUMIF('4. STOCK OUT'!$B:$B,$A109,'4. STOCK OUT'!$E:$E))</f>
        <v>0</v>
      </c>
      <c r="F109" s="3">
        <f t="shared" si="1"/>
        <v>27</v>
      </c>
      <c r="G109" t="str">
        <f>IF($A109="","",IFERROR(IF($F109&lt;=0,"OUT OF STOCK",IF($F109&lt;=VLOOKUP($A109,'2. ITEM MASTER'!$A:$D,4,FALSE),"LOW STOCK","OK")),""))</f>
        <v>OK</v>
      </c>
    </row>
    <row r="110" spans="1:7" x14ac:dyDescent="0.35">
      <c r="A110" t="str">
        <f>IF('2. ITEM MASTER'!A110="","",'2. ITEM MASTER'!A110)</f>
        <v>M-033</v>
      </c>
      <c r="B110" t="str">
        <f>IFERROR(VLOOKUP($A110,'2. ITEM MASTER'!$A:$D,2,FALSE),"")</f>
        <v>WESTERN COMMODE</v>
      </c>
      <c r="C110" t="str">
        <f>IFERROR(VLOOKUP($A110,'2. ITEM MASTER'!$A:$D,3,FALSE),"")</f>
        <v>Mechanical</v>
      </c>
      <c r="D110" s="3">
        <f>IF($A110="","",SUMIF('3. STOCK IN'!$B:$B,$A110,'3. STOCK IN'!$E:$E))</f>
        <v>10</v>
      </c>
      <c r="E110" s="3">
        <f>IF($A110="","",SUMIF('4. STOCK OUT'!$B:$B,$A110,'4. STOCK OUT'!$E:$E))</f>
        <v>0</v>
      </c>
      <c r="F110" s="3">
        <f t="shared" si="1"/>
        <v>10</v>
      </c>
      <c r="G110" t="str">
        <f>IF($A110="","",IFERROR(IF($F110&lt;=0,"OUT OF STOCK",IF($F110&lt;=VLOOKUP($A110,'2. ITEM MASTER'!$A:$D,4,FALSE),"LOW STOCK","OK")),""))</f>
        <v>OK</v>
      </c>
    </row>
    <row r="111" spans="1:7" x14ac:dyDescent="0.35">
      <c r="A111" t="str">
        <f>IF('2. ITEM MASTER'!A111="","",'2. ITEM MASTER'!A111)</f>
        <v>M-034</v>
      </c>
      <c r="B111" t="str">
        <f>IFERROR(VLOOKUP($A111,'2. ITEM MASTER'!$A:$D,2,FALSE),"")</f>
        <v>URNIAL MALE</v>
      </c>
      <c r="C111" t="str">
        <f>IFERROR(VLOOKUP($A111,'2. ITEM MASTER'!$A:$D,3,FALSE),"")</f>
        <v>Mechanical</v>
      </c>
      <c r="D111" s="3">
        <f>IF($A111="","",SUMIF('3. STOCK IN'!$B:$B,$A111,'3. STOCK IN'!$E:$E))</f>
        <v>1</v>
      </c>
      <c r="E111" s="3">
        <f>IF($A111="","",SUMIF('4. STOCK OUT'!$B:$B,$A111,'4. STOCK OUT'!$E:$E))</f>
        <v>0</v>
      </c>
      <c r="F111" s="3">
        <f t="shared" si="1"/>
        <v>1</v>
      </c>
      <c r="G111" t="str">
        <f>IF($A111="","",IFERROR(IF($F111&lt;=0,"OUT OF STOCK",IF($F111&lt;=VLOOKUP($A111,'2. ITEM MASTER'!$A:$D,4,FALSE),"LOW STOCK","OK")),""))</f>
        <v>LOW STOCK</v>
      </c>
    </row>
    <row r="112" spans="1:7" x14ac:dyDescent="0.35">
      <c r="A112" t="str">
        <f>IF('2. ITEM MASTER'!A112="","",'2. ITEM MASTER'!A112)</f>
        <v>M-035</v>
      </c>
      <c r="B112" t="str">
        <f>IFERROR(VLOOKUP($A112,'2. ITEM MASTER'!$A:$D,2,FALSE),"")</f>
        <v>URNIAL  FEMALE</v>
      </c>
      <c r="C112" t="str">
        <f>IFERROR(VLOOKUP($A112,'2. ITEM MASTER'!$A:$D,3,FALSE),"")</f>
        <v>Mechanical</v>
      </c>
      <c r="D112" s="3">
        <f>IF($A112="","",SUMIF('3. STOCK IN'!$B:$B,$A112,'3. STOCK IN'!$E:$E))</f>
        <v>2</v>
      </c>
      <c r="E112" s="3">
        <f>IF($A112="","",SUMIF('4. STOCK OUT'!$B:$B,$A112,'4. STOCK OUT'!$E:$E))</f>
        <v>0</v>
      </c>
      <c r="F112" s="3">
        <f t="shared" si="1"/>
        <v>2</v>
      </c>
      <c r="G112" t="str">
        <f>IF($A112="","",IFERROR(IF($F112&lt;=0,"OUT OF STOCK",IF($F112&lt;=VLOOKUP($A112,'2. ITEM MASTER'!$A:$D,4,FALSE),"LOW STOCK","OK")),""))</f>
        <v>LOW STOCK</v>
      </c>
    </row>
    <row r="113" spans="1:7" x14ac:dyDescent="0.35">
      <c r="A113" t="str">
        <f>IF('2. ITEM MASTER'!A113="","",'2. ITEM MASTER'!A113)</f>
        <v>M-036</v>
      </c>
      <c r="B113" t="str">
        <f>IFERROR(VLOOKUP($A113,'2. ITEM MASTER'!$A:$D,2,FALSE),"")</f>
        <v>GI PIPE 50X50 2MM</v>
      </c>
      <c r="C113" t="str">
        <f>IFERROR(VLOOKUP($A113,'2. ITEM MASTER'!$A:$D,3,FALSE),"")</f>
        <v>Mechanical</v>
      </c>
      <c r="D113" s="3">
        <f>IF($A113="","",SUMIF('3. STOCK IN'!$B:$B,$A113,'3. STOCK IN'!$E:$E))</f>
        <v>0</v>
      </c>
      <c r="E113" s="3">
        <f>IF($A113="","",SUMIF('4. STOCK OUT'!$B:$B,$A113,'4. STOCK OUT'!$E:$E))</f>
        <v>0</v>
      </c>
      <c r="F113" s="3">
        <f t="shared" si="1"/>
        <v>0</v>
      </c>
      <c r="G113" t="str">
        <f>IF($A113="","",IFERROR(IF($F113&lt;=0,"OUT OF STOCK",IF($F113&lt;=VLOOKUP($A113,'2. ITEM MASTER'!$A:$D,4,FALSE),"LOW STOCK","OK")),""))</f>
        <v>OUT OF STOCK</v>
      </c>
    </row>
    <row r="114" spans="1:7" x14ac:dyDescent="0.35">
      <c r="A114" t="str">
        <f>IF('2. ITEM MASTER'!A114="","",'2. ITEM MASTER'!A114)</f>
        <v>M-037</v>
      </c>
      <c r="B114" t="str">
        <f>IFERROR(VLOOKUP($A114,'2. ITEM MASTER'!$A:$D,2,FALSE),"")</f>
        <v>ACP PANNEL TAP</v>
      </c>
      <c r="C114" t="str">
        <f>IFERROR(VLOOKUP($A114,'2. ITEM MASTER'!$A:$D,3,FALSE),"")</f>
        <v>Mechanical</v>
      </c>
      <c r="D114" s="3">
        <f>IF($A114="","",SUMIF('3. STOCK IN'!$B:$B,$A114,'3. STOCK IN'!$E:$E))</f>
        <v>0</v>
      </c>
      <c r="E114" s="3">
        <f>IF($A114="","",SUMIF('4. STOCK OUT'!$B:$B,$A114,'4. STOCK OUT'!$E:$E))</f>
        <v>0</v>
      </c>
      <c r="F114" s="3">
        <f t="shared" si="1"/>
        <v>0</v>
      </c>
      <c r="G114" t="str">
        <f>IF($A114="","",IFERROR(IF($F114&lt;=0,"OUT OF STOCK",IF($F114&lt;=VLOOKUP($A114,'2. ITEM MASTER'!$A:$D,4,FALSE),"LOW STOCK","OK")),""))</f>
        <v>OUT OF STOCK</v>
      </c>
    </row>
    <row r="115" spans="1:7" x14ac:dyDescent="0.35">
      <c r="A115" t="str">
        <f>IF('2. ITEM MASTER'!A115="","",'2. ITEM MASTER'!A115)</f>
        <v>M-038</v>
      </c>
      <c r="B115" t="str">
        <f>IFERROR(VLOOKUP($A115,'2. ITEM MASTER'!$A:$D,2,FALSE),"")</f>
        <v>S S PIPE 40X40 1.2 MM</v>
      </c>
      <c r="C115" t="str">
        <f>IFERROR(VLOOKUP($A115,'2. ITEM MASTER'!$A:$D,3,FALSE),"")</f>
        <v>Mechanical</v>
      </c>
      <c r="D115" s="3">
        <f>IF($A115="","",SUMIF('3. STOCK IN'!$B:$B,$A115,'3. STOCK IN'!$E:$E))</f>
        <v>0</v>
      </c>
      <c r="E115" s="3">
        <f>IF($A115="","",SUMIF('4. STOCK OUT'!$B:$B,$A115,'4. STOCK OUT'!$E:$E))</f>
        <v>0</v>
      </c>
      <c r="F115" s="3">
        <f t="shared" si="1"/>
        <v>0</v>
      </c>
      <c r="G115" t="str">
        <f>IF($A115="","",IFERROR(IF($F115&lt;=0,"OUT OF STOCK",IF($F115&lt;=VLOOKUP($A115,'2. ITEM MASTER'!$A:$D,4,FALSE),"LOW STOCK","OK")),""))</f>
        <v>OUT OF STOCK</v>
      </c>
    </row>
    <row r="116" spans="1:7" x14ac:dyDescent="0.35">
      <c r="A116" t="str">
        <f>IF('2. ITEM MASTER'!A116="","",'2. ITEM MASTER'!A116)</f>
        <v>M-039</v>
      </c>
      <c r="B116" t="str">
        <f>IFERROR(VLOOKUP($A116,'2. ITEM MASTER'!$A:$D,2,FALSE),"")</f>
        <v>CUTTING WHEEL 14 ''</v>
      </c>
      <c r="C116" t="str">
        <f>IFERROR(VLOOKUP($A116,'2. ITEM MASTER'!$A:$D,3,FALSE),"")</f>
        <v>Mechanical</v>
      </c>
      <c r="D116" s="3">
        <f>IF($A116="","",SUMIF('3. STOCK IN'!$B:$B,$A116,'3. STOCK IN'!$E:$E))</f>
        <v>0</v>
      </c>
      <c r="E116" s="3">
        <f>IF($A116="","",SUMIF('4. STOCK OUT'!$B:$B,$A116,'4. STOCK OUT'!$E:$E))</f>
        <v>0</v>
      </c>
      <c r="F116" s="3">
        <f t="shared" si="1"/>
        <v>0</v>
      </c>
      <c r="G116" t="str">
        <f>IF($A116="","",IFERROR(IF($F116&lt;=0,"OUT OF STOCK",IF($F116&lt;=VLOOKUP($A116,'2. ITEM MASTER'!$A:$D,4,FALSE),"LOW STOCK","OK")),""))</f>
        <v>OUT OF STOCK</v>
      </c>
    </row>
    <row r="117" spans="1:7" x14ac:dyDescent="0.35">
      <c r="A117" t="str">
        <f>IF('2. ITEM MASTER'!A117="","",'2. ITEM MASTER'!A117)</f>
        <v>M-040</v>
      </c>
      <c r="B117" t="str">
        <f>IFERROR(VLOOKUP($A117,'2. ITEM MASTER'!$A:$D,2,FALSE),"")</f>
        <v>CUTTING WHEEL</v>
      </c>
      <c r="C117" t="str">
        <f>IFERROR(VLOOKUP($A117,'2. ITEM MASTER'!$A:$D,3,FALSE),"")</f>
        <v>Mechanical</v>
      </c>
      <c r="D117" s="3">
        <f>IF($A117="","",SUMIF('3. STOCK IN'!$B:$B,$A117,'3. STOCK IN'!$E:$E))</f>
        <v>0</v>
      </c>
      <c r="E117" s="3">
        <f>IF($A117="","",SUMIF('4. STOCK OUT'!$B:$B,$A117,'4. STOCK OUT'!$E:$E))</f>
        <v>0</v>
      </c>
      <c r="F117" s="3">
        <f t="shared" si="1"/>
        <v>0</v>
      </c>
      <c r="G117" t="str">
        <f>IF($A117="","",IFERROR(IF($F117&lt;=0,"OUT OF STOCK",IF($F117&lt;=VLOOKUP($A117,'2. ITEM MASTER'!$A:$D,4,FALSE),"LOW STOCK","OK")),""))</f>
        <v>OUT OF STOCK</v>
      </c>
    </row>
    <row r="118" spans="1:7" x14ac:dyDescent="0.35">
      <c r="A118" t="str">
        <f>IF('2. ITEM MASTER'!A118="","",'2. ITEM MASTER'!A118)</f>
        <v>M-041</v>
      </c>
      <c r="B118" t="str">
        <f>IFERROR(VLOOKUP($A118,'2. ITEM MASTER'!$A:$D,2,FALSE),"")</f>
        <v>BUFFING WHEEL</v>
      </c>
      <c r="C118" t="str">
        <f>IFERROR(VLOOKUP($A118,'2. ITEM MASTER'!$A:$D,3,FALSE),"")</f>
        <v>Mechanical</v>
      </c>
      <c r="D118" s="3">
        <f>IF($A118="","",SUMIF('3. STOCK IN'!$B:$B,$A118,'3. STOCK IN'!$E:$E))</f>
        <v>0</v>
      </c>
      <c r="E118" s="3">
        <f>IF($A118="","",SUMIF('4. STOCK OUT'!$B:$B,$A118,'4. STOCK OUT'!$E:$E))</f>
        <v>0</v>
      </c>
      <c r="F118" s="3">
        <f t="shared" si="1"/>
        <v>0</v>
      </c>
      <c r="G118" t="str">
        <f>IF($A118="","",IFERROR(IF($F118&lt;=0,"OUT OF STOCK",IF($F118&lt;=VLOOKUP($A118,'2. ITEM MASTER'!$A:$D,4,FALSE),"LOW STOCK","OK")),""))</f>
        <v>OUT OF STOCK</v>
      </c>
    </row>
    <row r="119" spans="1:7" x14ac:dyDescent="0.35">
      <c r="A119" t="str">
        <f>IF('2. ITEM MASTER'!A119="","",'2. ITEM MASTER'!A119)</f>
        <v>M-042</v>
      </c>
      <c r="B119" t="str">
        <f>IFERROR(VLOOKUP($A119,'2. ITEM MASTER'!$A:$D,2,FALSE),"")</f>
        <v>GARNDING WHEEL</v>
      </c>
      <c r="C119" t="str">
        <f>IFERROR(VLOOKUP($A119,'2. ITEM MASTER'!$A:$D,3,FALSE),"")</f>
        <v>Mechanical</v>
      </c>
      <c r="D119" s="3">
        <f>IF($A119="","",SUMIF('3. STOCK IN'!$B:$B,$A119,'3. STOCK IN'!$E:$E))</f>
        <v>0</v>
      </c>
      <c r="E119" s="3">
        <f>IF($A119="","",SUMIF('4. STOCK OUT'!$B:$B,$A119,'4. STOCK OUT'!$E:$E))</f>
        <v>0</v>
      </c>
      <c r="F119" s="3">
        <f t="shared" si="1"/>
        <v>0</v>
      </c>
      <c r="G119" t="str">
        <f>IF($A119="","",IFERROR(IF($F119&lt;=0,"OUT OF STOCK",IF($F119&lt;=VLOOKUP($A119,'2. ITEM MASTER'!$A:$D,4,FALSE),"LOW STOCK","OK")),""))</f>
        <v>OUT OF STOCK</v>
      </c>
    </row>
    <row r="120" spans="1:7" x14ac:dyDescent="0.35">
      <c r="A120" t="str">
        <f>IF('2. ITEM MASTER'!A120="","",'2. ITEM MASTER'!A120)</f>
        <v>M-043</v>
      </c>
      <c r="B120" t="str">
        <f>IFERROR(VLOOKUP($A120,'2. ITEM MASTER'!$A:$D,2,FALSE),"")</f>
        <v>HINGS 5X12</v>
      </c>
      <c r="C120" t="str">
        <f>IFERROR(VLOOKUP($A120,'2. ITEM MASTER'!$A:$D,3,FALSE),"")</f>
        <v>Mechanical</v>
      </c>
      <c r="D120" s="3">
        <f>IF($A120="","",SUMIF('3. STOCK IN'!$B:$B,$A120,'3. STOCK IN'!$E:$E))</f>
        <v>0</v>
      </c>
      <c r="E120" s="3">
        <f>IF($A120="","",SUMIF('4. STOCK OUT'!$B:$B,$A120,'4. STOCK OUT'!$E:$E))</f>
        <v>0</v>
      </c>
      <c r="F120" s="3">
        <f t="shared" si="1"/>
        <v>0</v>
      </c>
      <c r="G120" t="str">
        <f>IF($A120="","",IFERROR(IF($F120&lt;=0,"OUT OF STOCK",IF($F120&lt;=VLOOKUP($A120,'2. ITEM MASTER'!$A:$D,4,FALSE),"LOW STOCK","OK")),""))</f>
        <v>OUT OF STOCK</v>
      </c>
    </row>
    <row r="121" spans="1:7" x14ac:dyDescent="0.35">
      <c r="A121" t="str">
        <f>IF('2. ITEM MASTER'!A121="","",'2. ITEM MASTER'!A121)</f>
        <v>M-044</v>
      </c>
      <c r="B121" t="str">
        <f>IFERROR(VLOOKUP($A121,'2. ITEM MASTER'!$A:$D,2,FALSE),"")</f>
        <v>SPARY SILVER</v>
      </c>
      <c r="C121" t="str">
        <f>IFERROR(VLOOKUP($A121,'2. ITEM MASTER'!$A:$D,3,FALSE),"")</f>
        <v>Mechanical</v>
      </c>
      <c r="D121" s="3">
        <f>IF($A121="","",SUMIF('3. STOCK IN'!$B:$B,$A121,'3. STOCK IN'!$E:$E))</f>
        <v>0</v>
      </c>
      <c r="E121" s="3">
        <f>IF($A121="","",SUMIF('4. STOCK OUT'!$B:$B,$A121,'4. STOCK OUT'!$E:$E))</f>
        <v>0</v>
      </c>
      <c r="F121" s="3">
        <f t="shared" si="1"/>
        <v>0</v>
      </c>
      <c r="G121" t="str">
        <f>IF($A121="","",IFERROR(IF($F121&lt;=0,"OUT OF STOCK",IF($F121&lt;=VLOOKUP($A121,'2. ITEM MASTER'!$A:$D,4,FALSE),"LOW STOCK","OK")),""))</f>
        <v>OUT OF STOCK</v>
      </c>
    </row>
    <row r="122" spans="1:7" x14ac:dyDescent="0.35">
      <c r="A122" t="str">
        <f>IF('2. ITEM MASTER'!A122="","",'2. ITEM MASTER'!A122)</f>
        <v>M-045</v>
      </c>
      <c r="B122" t="str">
        <f>IFERROR(VLOOKUP($A122,'2. ITEM MASTER'!$A:$D,2,FALSE),"")</f>
        <v>SILICONE WHITE</v>
      </c>
      <c r="C122" t="str">
        <f>IFERROR(VLOOKUP($A122,'2. ITEM MASTER'!$A:$D,3,FALSE),"")</f>
        <v>Mechanical</v>
      </c>
      <c r="D122" s="3">
        <f>IF($A122="","",SUMIF('3. STOCK IN'!$B:$B,$A122,'3. STOCK IN'!$E:$E))</f>
        <v>0</v>
      </c>
      <c r="E122" s="3">
        <f>IF($A122="","",SUMIF('4. STOCK OUT'!$B:$B,$A122,'4. STOCK OUT'!$E:$E))</f>
        <v>0</v>
      </c>
      <c r="F122" s="3">
        <f t="shared" si="1"/>
        <v>0</v>
      </c>
      <c r="G122" t="str">
        <f>IF($A122="","",IFERROR(IF($F122&lt;=0,"OUT OF STOCK",IF($F122&lt;=VLOOKUP($A122,'2. ITEM MASTER'!$A:$D,4,FALSE),"LOW STOCK","OK")),""))</f>
        <v>OUT OF STOCK</v>
      </c>
    </row>
    <row r="123" spans="1:7" x14ac:dyDescent="0.35">
      <c r="A123" t="str">
        <f>IF('2. ITEM MASTER'!A123="","",'2. ITEM MASTER'!A123)</f>
        <v>M-046</v>
      </c>
      <c r="B123" t="str">
        <f>IFERROR(VLOOKUP($A123,'2. ITEM MASTER'!$A:$D,2,FALSE),"")</f>
        <v>SILICONE BLACK</v>
      </c>
      <c r="C123" t="str">
        <f>IFERROR(VLOOKUP($A123,'2. ITEM MASTER'!$A:$D,3,FALSE),"")</f>
        <v>Mechanical</v>
      </c>
      <c r="D123" s="3">
        <f>IF($A123="","",SUMIF('3. STOCK IN'!$B:$B,$A123,'3. STOCK IN'!$E:$E))</f>
        <v>0</v>
      </c>
      <c r="E123" s="3">
        <f>IF($A123="","",SUMIF('4. STOCK OUT'!$B:$B,$A123,'4. STOCK OUT'!$E:$E))</f>
        <v>0</v>
      </c>
      <c r="F123" s="3">
        <f t="shared" si="1"/>
        <v>0</v>
      </c>
      <c r="G123" t="str">
        <f>IF($A123="","",IFERROR(IF($F123&lt;=0,"OUT OF STOCK",IF($F123&lt;=VLOOKUP($A123,'2. ITEM MASTER'!$A:$D,4,FALSE),"LOW STOCK","OK")),""))</f>
        <v>OUT OF STOCK</v>
      </c>
    </row>
    <row r="124" spans="1:7" x14ac:dyDescent="0.35">
      <c r="A124" t="str">
        <f>IF('2. ITEM MASTER'!A124="","",'2. ITEM MASTER'!A124)</f>
        <v>M-047</v>
      </c>
      <c r="B124" t="str">
        <f>IFERROR(VLOOKUP($A124,'2. ITEM MASTER'!$A:$D,2,FALSE),"")</f>
        <v>MCL</v>
      </c>
      <c r="C124" t="str">
        <f>IFERROR(VLOOKUP($A124,'2. ITEM MASTER'!$A:$D,3,FALSE),"")</f>
        <v>Mechanical</v>
      </c>
      <c r="D124" s="3">
        <f>IF($A124="","",SUMIF('3. STOCK IN'!$B:$B,$A124,'3. STOCK IN'!$E:$E))</f>
        <v>0</v>
      </c>
      <c r="E124" s="3">
        <f>IF($A124="","",SUMIF('4. STOCK OUT'!$B:$B,$A124,'4. STOCK OUT'!$E:$E))</f>
        <v>0</v>
      </c>
      <c r="F124" s="3">
        <f t="shared" si="1"/>
        <v>0</v>
      </c>
      <c r="G124" t="str">
        <f>IF($A124="","",IFERROR(IF($F124&lt;=0,"OUT OF STOCK",IF($F124&lt;=VLOOKUP($A124,'2. ITEM MASTER'!$A:$D,4,FALSE),"LOW STOCK","OK")),""))</f>
        <v>OUT OF STOCK</v>
      </c>
    </row>
    <row r="125" spans="1:7" x14ac:dyDescent="0.35">
      <c r="A125" t="str">
        <f>IF('2. ITEM MASTER'!A125="","",'2. ITEM MASTER'!A125)</f>
        <v>M-048</v>
      </c>
      <c r="B125" t="str">
        <f>IFERROR(VLOOKUP($A125,'2. ITEM MASTER'!$A:$D,2,FALSE),"")</f>
        <v>WELDING WIRE MS</v>
      </c>
      <c r="C125" t="str">
        <f>IFERROR(VLOOKUP($A125,'2. ITEM MASTER'!$A:$D,3,FALSE),"")</f>
        <v>Mechanical</v>
      </c>
      <c r="D125" s="3">
        <f>IF($A125="","",SUMIF('3. STOCK IN'!$B:$B,$A125,'3. STOCK IN'!$E:$E))</f>
        <v>0</v>
      </c>
      <c r="E125" s="3">
        <f>IF($A125="","",SUMIF('4. STOCK OUT'!$B:$B,$A125,'4. STOCK OUT'!$E:$E))</f>
        <v>0</v>
      </c>
      <c r="F125" s="3">
        <f t="shared" si="1"/>
        <v>0</v>
      </c>
      <c r="G125" t="str">
        <f>IF($A125="","",IFERROR(IF($F125&lt;=0,"OUT OF STOCK",IF($F125&lt;=VLOOKUP($A125,'2. ITEM MASTER'!$A:$D,4,FALSE),"LOW STOCK","OK")),""))</f>
        <v>OUT OF STOCK</v>
      </c>
    </row>
    <row r="126" spans="1:7" x14ac:dyDescent="0.35">
      <c r="A126" t="str">
        <f>IF('2. ITEM MASTER'!A126="","",'2. ITEM MASTER'!A126)</f>
        <v>M-049</v>
      </c>
      <c r="B126" t="str">
        <f>IFERROR(VLOOKUP($A126,'2. ITEM MASTER'!$A:$D,2,FALSE),"")</f>
        <v>S S PIPE 25X25 1.2MM</v>
      </c>
      <c r="C126" t="str">
        <f>IFERROR(VLOOKUP($A126,'2. ITEM MASTER'!$A:$D,3,FALSE),"")</f>
        <v>Mechanical</v>
      </c>
      <c r="D126" s="3">
        <f>IF($A126="","",SUMIF('3. STOCK IN'!$B:$B,$A126,'3. STOCK IN'!$E:$E))</f>
        <v>0</v>
      </c>
      <c r="E126" s="3">
        <f>IF($A126="","",SUMIF('4. STOCK OUT'!$B:$B,$A126,'4. STOCK OUT'!$E:$E))</f>
        <v>0</v>
      </c>
      <c r="F126" s="3">
        <f t="shared" si="1"/>
        <v>0</v>
      </c>
      <c r="G126" t="str">
        <f>IF($A126="","",IFERROR(IF($F126&lt;=0,"OUT OF STOCK",IF($F126&lt;=VLOOKUP($A126,'2. ITEM MASTER'!$A:$D,4,FALSE),"LOW STOCK","OK")),""))</f>
        <v>OUT OF STOCK</v>
      </c>
    </row>
    <row r="127" spans="1:7" x14ac:dyDescent="0.35">
      <c r="A127" t="str">
        <f>IF('2. ITEM MASTER'!A127="","",'2. ITEM MASTER'!A127)</f>
        <v>M-050</v>
      </c>
      <c r="B127" t="str">
        <f>IFERROR(VLOOKUP($A127,'2. ITEM MASTER'!$A:$D,2,FALSE),"")</f>
        <v>GRANDING WHEEL5</v>
      </c>
      <c r="C127" t="str">
        <f>IFERROR(VLOOKUP($A127,'2. ITEM MASTER'!$A:$D,3,FALSE),"")</f>
        <v>Mechanical</v>
      </c>
      <c r="D127" s="3">
        <f>IF($A127="","",SUMIF('3. STOCK IN'!$B:$B,$A127,'3. STOCK IN'!$E:$E))</f>
        <v>0</v>
      </c>
      <c r="E127" s="3">
        <f>IF($A127="","",SUMIF('4. STOCK OUT'!$B:$B,$A127,'4. STOCK OUT'!$E:$E))</f>
        <v>0</v>
      </c>
      <c r="F127" s="3">
        <f t="shared" si="1"/>
        <v>0</v>
      </c>
      <c r="G127" t="str">
        <f>IF($A127="","",IFERROR(IF($F127&lt;=0,"OUT OF STOCK",IF($F127&lt;=VLOOKUP($A127,'2. ITEM MASTER'!$A:$D,4,FALSE),"LOW STOCK","OK")),""))</f>
        <v>OUT OF STOCK</v>
      </c>
    </row>
    <row r="128" spans="1:7" x14ac:dyDescent="0.35">
      <c r="A128" t="str">
        <f>IF('2. ITEM MASTER'!A128="","",'2. ITEM MASTER'!A128)</f>
        <v>M-051</v>
      </c>
      <c r="B128" t="str">
        <f>IFERROR(VLOOKUP($A128,'2. ITEM MASTER'!$A:$D,2,FALSE),"")</f>
        <v>GANDING M-C 5</v>
      </c>
      <c r="C128" t="str">
        <f>IFERROR(VLOOKUP($A128,'2. ITEM MASTER'!$A:$D,3,FALSE),"")</f>
        <v>Mechanical</v>
      </c>
      <c r="D128" s="3">
        <f>IF($A128="","",SUMIF('3. STOCK IN'!$B:$B,$A128,'3. STOCK IN'!$E:$E))</f>
        <v>0</v>
      </c>
      <c r="E128" s="3">
        <f>IF($A128="","",SUMIF('4. STOCK OUT'!$B:$B,$A128,'4. STOCK OUT'!$E:$E))</f>
        <v>0</v>
      </c>
      <c r="F128" s="3">
        <f t="shared" si="1"/>
        <v>0</v>
      </c>
      <c r="G128" t="str">
        <f>IF($A128="","",IFERROR(IF($F128&lt;=0,"OUT OF STOCK",IF($F128&lt;=VLOOKUP($A128,'2. ITEM MASTER'!$A:$D,4,FALSE),"LOW STOCK","OK")),""))</f>
        <v>OUT OF STOCK</v>
      </c>
    </row>
    <row r="129" spans="1:7" x14ac:dyDescent="0.35">
      <c r="A129" t="str">
        <f>IF('2. ITEM MASTER'!A129="","",'2. ITEM MASTER'!A129)</f>
        <v>M-052</v>
      </c>
      <c r="B129" t="str">
        <f>IFERROR(VLOOKUP($A129,'2. ITEM MASTER'!$A:$D,2,FALSE),"")</f>
        <v>BATTERY DRILL M-C</v>
      </c>
      <c r="C129" t="str">
        <f>IFERROR(VLOOKUP($A129,'2. ITEM MASTER'!$A:$D,3,FALSE),"")</f>
        <v>Mechanical</v>
      </c>
      <c r="D129" s="3">
        <f>IF($A129="","",SUMIF('3. STOCK IN'!$B:$B,$A129,'3. STOCK IN'!$E:$E))</f>
        <v>0</v>
      </c>
      <c r="E129" s="3">
        <f>IF($A129="","",SUMIF('4. STOCK OUT'!$B:$B,$A129,'4. STOCK OUT'!$E:$E))</f>
        <v>0</v>
      </c>
      <c r="F129" s="3">
        <f t="shared" si="1"/>
        <v>0</v>
      </c>
      <c r="G129" t="str">
        <f>IF($A129="","",IFERROR(IF($F129&lt;=0,"OUT OF STOCK",IF($F129&lt;=VLOOKUP($A129,'2. ITEM MASTER'!$A:$D,4,FALSE),"LOW STOCK","OK")),""))</f>
        <v>OUT OF STOCK</v>
      </c>
    </row>
    <row r="130" spans="1:7" x14ac:dyDescent="0.35">
      <c r="A130" t="str">
        <f>IF('2. ITEM MASTER'!A130="","",'2. ITEM MASTER'!A130)</f>
        <v>M-053</v>
      </c>
      <c r="B130" t="str">
        <f>IFERROR(VLOOKUP($A130,'2. ITEM MASTER'!$A:$D,2,FALSE),"")</f>
        <v>BABY LATCH</v>
      </c>
      <c r="C130" t="str">
        <f>IFERROR(VLOOKUP($A130,'2. ITEM MASTER'!$A:$D,3,FALSE),"")</f>
        <v>Mechanical</v>
      </c>
      <c r="D130" s="3">
        <f>IF($A130="","",SUMIF('3. STOCK IN'!$B:$B,$A130,'3. STOCK IN'!$E:$E))</f>
        <v>46</v>
      </c>
      <c r="E130" s="3">
        <f>IF($A130="","",SUMIF('4. STOCK OUT'!$B:$B,$A130,'4. STOCK OUT'!$E:$E))</f>
        <v>0</v>
      </c>
      <c r="F130" s="3">
        <f t="shared" ref="F130:F193" si="2">IF($A130="","",IFERROR($D130-$E130,0))</f>
        <v>46</v>
      </c>
      <c r="G130" t="str">
        <f>IF($A130="","",IFERROR(IF($F130&lt;=0,"OUT OF STOCK",IF($F130&lt;=VLOOKUP($A130,'2. ITEM MASTER'!$A:$D,4,FALSE),"LOW STOCK","OK")),""))</f>
        <v>OK</v>
      </c>
    </row>
    <row r="131" spans="1:7" x14ac:dyDescent="0.35">
      <c r="A131" t="str">
        <f>IF('2. ITEM MASTER'!A131="","",'2. ITEM MASTER'!A131)</f>
        <v>M-054</v>
      </c>
      <c r="B131" t="str">
        <f>IFERROR(VLOOKUP($A131,'2. ITEM MASTER'!$A:$D,2,FALSE),"")</f>
        <v>SS PANL DOOR HANDL</v>
      </c>
      <c r="C131" t="str">
        <f>IFERROR(VLOOKUP($A131,'2. ITEM MASTER'!$A:$D,3,FALSE),"")</f>
        <v>Mechanical</v>
      </c>
      <c r="D131" s="3">
        <f>IF($A131="","",SUMIF('3. STOCK IN'!$B:$B,$A131,'3. STOCK IN'!$E:$E))</f>
        <v>0</v>
      </c>
      <c r="E131" s="3">
        <f>IF($A131="","",SUMIF('4. STOCK OUT'!$B:$B,$A131,'4. STOCK OUT'!$E:$E))</f>
        <v>0</v>
      </c>
      <c r="F131" s="3">
        <f t="shared" si="2"/>
        <v>0</v>
      </c>
      <c r="G131" t="str">
        <f>IF($A131="","",IFERROR(IF($F131&lt;=0,"OUT OF STOCK",IF($F131&lt;=VLOOKUP($A131,'2. ITEM MASTER'!$A:$D,4,FALSE),"LOW STOCK","OK")),""))</f>
        <v>OUT OF STOCK</v>
      </c>
    </row>
    <row r="132" spans="1:7" x14ac:dyDescent="0.35">
      <c r="A132" t="str">
        <f>IF('2. ITEM MASTER'!A132="","",'2. ITEM MASTER'!A132)</f>
        <v>M-055</v>
      </c>
      <c r="B132" t="str">
        <f>IFERROR(VLOOKUP($A132,'2. ITEM MASTER'!$A:$D,2,FALSE),"")</f>
        <v>GRANDER M-C</v>
      </c>
      <c r="C132" t="str">
        <f>IFERROR(VLOOKUP($A132,'2. ITEM MASTER'!$A:$D,3,FALSE),"")</f>
        <v>Mechanical</v>
      </c>
      <c r="D132" s="3">
        <f>IF($A132="","",SUMIF('3. STOCK IN'!$B:$B,$A132,'3. STOCK IN'!$E:$E))</f>
        <v>0</v>
      </c>
      <c r="E132" s="3">
        <f>IF($A132="","",SUMIF('4. STOCK OUT'!$B:$B,$A132,'4. STOCK OUT'!$E:$E))</f>
        <v>0</v>
      </c>
      <c r="F132" s="3">
        <f t="shared" si="2"/>
        <v>0</v>
      </c>
      <c r="G132" t="str">
        <f>IF($A132="","",IFERROR(IF($F132&lt;=0,"OUT OF STOCK",IF($F132&lt;=VLOOKUP($A132,'2. ITEM MASTER'!$A:$D,4,FALSE),"LOW STOCK","OK")),""))</f>
        <v>OUT OF STOCK</v>
      </c>
    </row>
    <row r="133" spans="1:7" x14ac:dyDescent="0.35">
      <c r="A133" t="str">
        <f>IF('2. ITEM MASTER'!A133="","",'2. ITEM MASTER'!A133)</f>
        <v>M-056</v>
      </c>
      <c r="B133" t="str">
        <f>IFERROR(VLOOKUP($A133,'2. ITEM MASTER'!$A:$D,2,FALSE),"")</f>
        <v>DIRLL M-C</v>
      </c>
      <c r="C133" t="str">
        <f>IFERROR(VLOOKUP($A133,'2. ITEM MASTER'!$A:$D,3,FALSE),"")</f>
        <v>Mechanical</v>
      </c>
      <c r="D133" s="3">
        <f>IF($A133="","",SUMIF('3. STOCK IN'!$B:$B,$A133,'3. STOCK IN'!$E:$E))</f>
        <v>0</v>
      </c>
      <c r="E133" s="3">
        <f>IF($A133="","",SUMIF('4. STOCK OUT'!$B:$B,$A133,'4. STOCK OUT'!$E:$E))</f>
        <v>0</v>
      </c>
      <c r="F133" s="3">
        <f t="shared" si="2"/>
        <v>0</v>
      </c>
      <c r="G133" t="str">
        <f>IF($A133="","",IFERROR(IF($F133&lt;=0,"OUT OF STOCK",IF($F133&lt;=VLOOKUP($A133,'2. ITEM MASTER'!$A:$D,4,FALSE),"LOW STOCK","OK")),""))</f>
        <v>OUT OF STOCK</v>
      </c>
    </row>
    <row r="134" spans="1:7" x14ac:dyDescent="0.35">
      <c r="A134" t="str">
        <f>IF('2. ITEM MASTER'!A134="","",'2. ITEM MASTER'!A134)</f>
        <v>M-057</v>
      </c>
      <c r="B134" t="str">
        <f>IFERROR(VLOOKUP($A134,'2. ITEM MASTER'!$A:$D,2,FALSE),"")</f>
        <v>GRANDER ROUND M-C</v>
      </c>
      <c r="C134" t="str">
        <f>IFERROR(VLOOKUP($A134,'2. ITEM MASTER'!$A:$D,3,FALSE),"")</f>
        <v>Mechanical</v>
      </c>
      <c r="D134" s="3">
        <f>IF($A134="","",SUMIF('3. STOCK IN'!$B:$B,$A134,'3. STOCK IN'!$E:$E))</f>
        <v>0</v>
      </c>
      <c r="E134" s="3">
        <f>IF($A134="","",SUMIF('4. STOCK OUT'!$B:$B,$A134,'4. STOCK OUT'!$E:$E))</f>
        <v>0</v>
      </c>
      <c r="F134" s="3">
        <f t="shared" si="2"/>
        <v>0</v>
      </c>
      <c r="G134" t="str">
        <f>IF($A134="","",IFERROR(IF($F134&lt;=0,"OUT OF STOCK",IF($F134&lt;=VLOOKUP($A134,'2. ITEM MASTER'!$A:$D,4,FALSE),"LOW STOCK","OK")),""))</f>
        <v>OUT OF STOCK</v>
      </c>
    </row>
    <row r="135" spans="1:7" x14ac:dyDescent="0.35">
      <c r="A135" t="str">
        <f>IF('2. ITEM MASTER'!A135="","",'2. ITEM MASTER'!A135)</f>
        <v>M-058</v>
      </c>
      <c r="B135" t="str">
        <f>IFERROR(VLOOKUP($A135,'2. ITEM MASTER'!$A:$D,2,FALSE),"")</f>
        <v>CUTTING M-C 14</v>
      </c>
      <c r="C135" t="str">
        <f>IFERROR(VLOOKUP($A135,'2. ITEM MASTER'!$A:$D,3,FALSE),"")</f>
        <v>Mechanical</v>
      </c>
      <c r="D135" s="3">
        <f>IF($A135="","",SUMIF('3. STOCK IN'!$B:$B,$A135,'3. STOCK IN'!$E:$E))</f>
        <v>0</v>
      </c>
      <c r="E135" s="3">
        <f>IF($A135="","",SUMIF('4. STOCK OUT'!$B:$B,$A135,'4. STOCK OUT'!$E:$E))</f>
        <v>0</v>
      </c>
      <c r="F135" s="3">
        <f t="shared" si="2"/>
        <v>0</v>
      </c>
      <c r="G135" t="str">
        <f>IF($A135="","",IFERROR(IF($F135&lt;=0,"OUT OF STOCK",IF($F135&lt;=VLOOKUP($A135,'2. ITEM MASTER'!$A:$D,4,FALSE),"LOW STOCK","OK")),""))</f>
        <v>OUT OF STOCK</v>
      </c>
    </row>
    <row r="136" spans="1:7" x14ac:dyDescent="0.35">
      <c r="A136" t="str">
        <f>IF('2. ITEM MASTER'!A136="","",'2. ITEM MASTER'!A136)</f>
        <v>M-059</v>
      </c>
      <c r="B136" t="str">
        <f>IFERROR(VLOOKUP($A136,'2. ITEM MASTER'!$A:$D,2,FALSE),"")</f>
        <v>SS WEDING WIRE</v>
      </c>
      <c r="C136" t="str">
        <f>IFERROR(VLOOKUP($A136,'2. ITEM MASTER'!$A:$D,3,FALSE),"")</f>
        <v>Mechanical</v>
      </c>
      <c r="D136" s="3">
        <f>IF($A136="","",SUMIF('3. STOCK IN'!$B:$B,$A136,'3. STOCK IN'!$E:$E))</f>
        <v>0</v>
      </c>
      <c r="E136" s="3">
        <f>IF($A136="","",SUMIF('4. STOCK OUT'!$B:$B,$A136,'4. STOCK OUT'!$E:$E))</f>
        <v>0</v>
      </c>
      <c r="F136" s="3">
        <f t="shared" si="2"/>
        <v>0</v>
      </c>
      <c r="G136" t="str">
        <f>IF($A136="","",IFERROR(IF($F136&lt;=0,"OUT OF STOCK",IF($F136&lt;=VLOOKUP($A136,'2. ITEM MASTER'!$A:$D,4,FALSE),"LOW STOCK","OK")),""))</f>
        <v>OUT OF STOCK</v>
      </c>
    </row>
    <row r="137" spans="1:7" x14ac:dyDescent="0.35">
      <c r="A137" t="str">
        <f>IF('2. ITEM MASTER'!A137="","",'2. ITEM MASTER'!A137)</f>
        <v>P-001</v>
      </c>
      <c r="B137" t="str">
        <f>IFERROR(VLOOKUP($A137,'2. ITEM MASTER'!$A:$D,2,FALSE),"")</f>
        <v>UPVC PIPE 1 INCH</v>
      </c>
      <c r="C137" t="str">
        <f>IFERROR(VLOOKUP($A137,'2. ITEM MASTER'!$A:$D,3,FALSE),"")</f>
        <v>Plumbing</v>
      </c>
      <c r="D137" s="3">
        <f>IF($A137="","",SUMIF('3. STOCK IN'!$B:$B,$A137,'3. STOCK IN'!$E:$E))</f>
        <v>0</v>
      </c>
      <c r="E137" s="3">
        <f>IF($A137="","",SUMIF('4. STOCK OUT'!$B:$B,$A137,'4. STOCK OUT'!$E:$E))</f>
        <v>0</v>
      </c>
      <c r="F137" s="3">
        <f t="shared" si="2"/>
        <v>0</v>
      </c>
      <c r="G137" t="str">
        <f>IF($A137="","",IFERROR(IF($F137&lt;=0,"OUT OF STOCK",IF($F137&lt;=VLOOKUP($A137,'2. ITEM MASTER'!$A:$D,4,FALSE),"LOW STOCK","OK")),""))</f>
        <v>OUT OF STOCK</v>
      </c>
    </row>
    <row r="138" spans="1:7" x14ac:dyDescent="0.35">
      <c r="A138" t="str">
        <f>IF('2. ITEM MASTER'!A138="","",'2. ITEM MASTER'!A138)</f>
        <v>P-002</v>
      </c>
      <c r="B138" t="str">
        <f>IFERROR(VLOOKUP($A138,'2. ITEM MASTER'!$A:$D,2,FALSE),"")</f>
        <v>UPVC PIPE 2 INCH</v>
      </c>
      <c r="C138" t="str">
        <f>IFERROR(VLOOKUP($A138,'2. ITEM MASTER'!$A:$D,3,FALSE),"")</f>
        <v>Plumbing</v>
      </c>
      <c r="D138" s="3">
        <f>IF($A138="","",SUMIF('3. STOCK IN'!$B:$B,$A138,'3. STOCK IN'!$E:$E))</f>
        <v>0</v>
      </c>
      <c r="E138" s="3">
        <f>IF($A138="","",SUMIF('4. STOCK OUT'!$B:$B,$A138,'4. STOCK OUT'!$E:$E))</f>
        <v>0</v>
      </c>
      <c r="F138" s="3">
        <f t="shared" si="2"/>
        <v>0</v>
      </c>
      <c r="G138" t="str">
        <f>IF($A138="","",IFERROR(IF($F138&lt;=0,"OUT OF STOCK",IF($F138&lt;=VLOOKUP($A138,'2. ITEM MASTER'!$A:$D,4,FALSE),"LOW STOCK","OK")),""))</f>
        <v>OUT OF STOCK</v>
      </c>
    </row>
    <row r="139" spans="1:7" x14ac:dyDescent="0.35">
      <c r="A139" t="str">
        <f>IF('2. ITEM MASTER'!A139="","",'2. ITEM MASTER'!A139)</f>
        <v>P-003</v>
      </c>
      <c r="B139" t="str">
        <f>IFERROR(VLOOKUP($A139,'2. ITEM MASTER'!$A:$D,2,FALSE),"")</f>
        <v>UPVC PIPE 0.5 INCH</v>
      </c>
      <c r="C139" t="str">
        <f>IFERROR(VLOOKUP($A139,'2. ITEM MASTER'!$A:$D,3,FALSE),"")</f>
        <v>Plumbing</v>
      </c>
      <c r="D139" s="3">
        <f>IF($A139="","",SUMIF('3. STOCK IN'!$B:$B,$A139,'3. STOCK IN'!$E:$E))</f>
        <v>0</v>
      </c>
      <c r="E139" s="3">
        <f>IF($A139="","",SUMIF('4. STOCK OUT'!$B:$B,$A139,'4. STOCK OUT'!$E:$E))</f>
        <v>0</v>
      </c>
      <c r="F139" s="3">
        <f t="shared" si="2"/>
        <v>0</v>
      </c>
      <c r="G139" t="str">
        <f>IF($A139="","",IFERROR(IF($F139&lt;=0,"OUT OF STOCK",IF($F139&lt;=VLOOKUP($A139,'2. ITEM MASTER'!$A:$D,4,FALSE),"LOW STOCK","OK")),""))</f>
        <v>OUT OF STOCK</v>
      </c>
    </row>
    <row r="140" spans="1:7" x14ac:dyDescent="0.35">
      <c r="A140" t="str">
        <f>IF('2. ITEM MASTER'!A140="","",'2. ITEM MASTER'!A140)</f>
        <v>P-004</v>
      </c>
      <c r="B140" t="str">
        <f>IFERROR(VLOOKUP($A140,'2. ITEM MASTER'!$A:$D,2,FALSE),"")</f>
        <v>UPVC 1 BRASS MT</v>
      </c>
      <c r="C140" t="str">
        <f>IFERROR(VLOOKUP($A140,'2. ITEM MASTER'!$A:$D,3,FALSE),"")</f>
        <v>Plumbing</v>
      </c>
      <c r="D140" s="3">
        <f>IF($A140="","",SUMIF('3. STOCK IN'!$B:$B,$A140,'3. STOCK IN'!$E:$E))</f>
        <v>0</v>
      </c>
      <c r="E140" s="3">
        <f>IF($A140="","",SUMIF('4. STOCK OUT'!$B:$B,$A140,'4. STOCK OUT'!$E:$E))</f>
        <v>0</v>
      </c>
      <c r="F140" s="3">
        <f t="shared" si="2"/>
        <v>0</v>
      </c>
      <c r="G140" t="str">
        <f>IF($A140="","",IFERROR(IF($F140&lt;=0,"OUT OF STOCK",IF($F140&lt;=VLOOKUP($A140,'2. ITEM MASTER'!$A:$D,4,FALSE),"LOW STOCK","OK")),""))</f>
        <v>OUT OF STOCK</v>
      </c>
    </row>
    <row r="141" spans="1:7" x14ac:dyDescent="0.35">
      <c r="A141" t="str">
        <f>IF('2. ITEM MASTER'!A141="","",'2. ITEM MASTER'!A141)</f>
        <v>P-005</v>
      </c>
      <c r="B141" t="str">
        <f>IFERROR(VLOOKUP($A141,'2. ITEM MASTER'!$A:$D,2,FALSE),"")</f>
        <v>UPVC 1 ELBOW</v>
      </c>
      <c r="C141" t="str">
        <f>IFERROR(VLOOKUP($A141,'2. ITEM MASTER'!$A:$D,3,FALSE),"")</f>
        <v>Plumbing</v>
      </c>
      <c r="D141" s="3">
        <f>IF($A141="","",SUMIF('3. STOCK IN'!$B:$B,$A141,'3. STOCK IN'!$E:$E))</f>
        <v>0</v>
      </c>
      <c r="E141" s="3">
        <f>IF($A141="","",SUMIF('4. STOCK OUT'!$B:$B,$A141,'4. STOCK OUT'!$E:$E))</f>
        <v>0</v>
      </c>
      <c r="F141" s="3">
        <f t="shared" si="2"/>
        <v>0</v>
      </c>
      <c r="G141" t="str">
        <f>IF($A141="","",IFERROR(IF($F141&lt;=0,"OUT OF STOCK",IF($F141&lt;=VLOOKUP($A141,'2. ITEM MASTER'!$A:$D,4,FALSE),"LOW STOCK","OK")),""))</f>
        <v>OUT OF STOCK</v>
      </c>
    </row>
    <row r="142" spans="1:7" x14ac:dyDescent="0.35">
      <c r="A142" t="str">
        <f>IF('2. ITEM MASTER'!A142="","",'2. ITEM MASTER'!A142)</f>
        <v>P-006</v>
      </c>
      <c r="B142" t="str">
        <f>IFERROR(VLOOKUP($A142,'2. ITEM MASTER'!$A:$D,2,FALSE),"")</f>
        <v>UPVC 1 BRASS ELBOW</v>
      </c>
      <c r="C142" t="str">
        <f>IFERROR(VLOOKUP($A142,'2. ITEM MASTER'!$A:$D,3,FALSE),"")</f>
        <v>Plumbing</v>
      </c>
      <c r="D142" s="3">
        <f>IF($A142="","",SUMIF('3. STOCK IN'!$B:$B,$A142,'3. STOCK IN'!$E:$E))</f>
        <v>0</v>
      </c>
      <c r="E142" s="3">
        <f>IF($A142="","",SUMIF('4. STOCK OUT'!$B:$B,$A142,'4. STOCK OUT'!$E:$E))</f>
        <v>0</v>
      </c>
      <c r="F142" s="3">
        <f t="shared" si="2"/>
        <v>0</v>
      </c>
      <c r="G142" t="str">
        <f>IF($A142="","",IFERROR(IF($F142&lt;=0,"OUT OF STOCK",IF($F142&lt;=VLOOKUP($A142,'2. ITEM MASTER'!$A:$D,4,FALSE),"LOW STOCK","OK")),""))</f>
        <v>OUT OF STOCK</v>
      </c>
    </row>
    <row r="143" spans="1:7" x14ac:dyDescent="0.35">
      <c r="A143" t="str">
        <f>IF('2. ITEM MASTER'!A143="","",'2. ITEM MASTER'!A143)</f>
        <v>P-007</v>
      </c>
      <c r="B143" t="str">
        <f>IFERROR(VLOOKUP($A143,'2. ITEM MASTER'!$A:$D,2,FALSE),"")</f>
        <v>UPVC 1 TEE</v>
      </c>
      <c r="C143" t="str">
        <f>IFERROR(VLOOKUP($A143,'2. ITEM MASTER'!$A:$D,3,FALSE),"")</f>
        <v>Plumbing</v>
      </c>
      <c r="D143" s="3">
        <f>IF($A143="","",SUMIF('3. STOCK IN'!$B:$B,$A143,'3. STOCK IN'!$E:$E))</f>
        <v>0</v>
      </c>
      <c r="E143" s="3">
        <f>IF($A143="","",SUMIF('4. STOCK OUT'!$B:$B,$A143,'4. STOCK OUT'!$E:$E))</f>
        <v>0</v>
      </c>
      <c r="F143" s="3">
        <f t="shared" si="2"/>
        <v>0</v>
      </c>
      <c r="G143" t="str">
        <f>IF($A143="","",IFERROR(IF($F143&lt;=0,"OUT OF STOCK",IF($F143&lt;=VLOOKUP($A143,'2. ITEM MASTER'!$A:$D,4,FALSE),"LOW STOCK","OK")),""))</f>
        <v>OUT OF STOCK</v>
      </c>
    </row>
    <row r="144" spans="1:7" x14ac:dyDescent="0.35">
      <c r="A144" t="str">
        <f>IF('2. ITEM MASTER'!A144="","",'2. ITEM MASTER'!A144)</f>
        <v>P-008</v>
      </c>
      <c r="B144" t="str">
        <f>IFERROR(VLOOKUP($A144,'2. ITEM MASTER'!$A:$D,2,FALSE),"")</f>
        <v>UPVC 1 CAPLER</v>
      </c>
      <c r="C144" t="str">
        <f>IFERROR(VLOOKUP($A144,'2. ITEM MASTER'!$A:$D,3,FALSE),"")</f>
        <v>Plumbing</v>
      </c>
      <c r="D144" s="3">
        <f>IF($A144="","",SUMIF('3. STOCK IN'!$B:$B,$A144,'3. STOCK IN'!$E:$E))</f>
        <v>0</v>
      </c>
      <c r="E144" s="3">
        <f>IF($A144="","",SUMIF('4. STOCK OUT'!$B:$B,$A144,'4. STOCK OUT'!$E:$E))</f>
        <v>0</v>
      </c>
      <c r="F144" s="3">
        <f t="shared" si="2"/>
        <v>0</v>
      </c>
      <c r="G144" t="str">
        <f>IF($A144="","",IFERROR(IF($F144&lt;=0,"OUT OF STOCK",IF($F144&lt;=VLOOKUP($A144,'2. ITEM MASTER'!$A:$D,4,FALSE),"LOW STOCK","OK")),""))</f>
        <v>OUT OF STOCK</v>
      </c>
    </row>
    <row r="145" spans="1:7" x14ac:dyDescent="0.35">
      <c r="A145" t="str">
        <f>IF('2. ITEM MASTER'!A145="","",'2. ITEM MASTER'!A145)</f>
        <v>P-009</v>
      </c>
      <c r="B145" t="str">
        <f>IFERROR(VLOOKUP($A145,'2. ITEM MASTER'!$A:$D,2,FALSE),"")</f>
        <v>UPVC 1 BRASS FT</v>
      </c>
      <c r="C145" t="str">
        <f>IFERROR(VLOOKUP($A145,'2. ITEM MASTER'!$A:$D,3,FALSE),"")</f>
        <v>Plumbing</v>
      </c>
      <c r="D145" s="3">
        <f>IF($A145="","",SUMIF('3. STOCK IN'!$B:$B,$A145,'3. STOCK IN'!$E:$E))</f>
        <v>0</v>
      </c>
      <c r="E145" s="3">
        <f>IF($A145="","",SUMIF('4. STOCK OUT'!$B:$B,$A145,'4. STOCK OUT'!$E:$E))</f>
        <v>0</v>
      </c>
      <c r="F145" s="3">
        <f t="shared" si="2"/>
        <v>0</v>
      </c>
      <c r="G145" t="str">
        <f>IF($A145="","",IFERROR(IF($F145&lt;=0,"OUT OF STOCK",IF($F145&lt;=VLOOKUP($A145,'2. ITEM MASTER'!$A:$D,4,FALSE),"LOW STOCK","OK")),""))</f>
        <v>OUT OF STOCK</v>
      </c>
    </row>
    <row r="146" spans="1:7" x14ac:dyDescent="0.35">
      <c r="A146" t="str">
        <f>IF('2. ITEM MASTER'!A146="","",'2. ITEM MASTER'!A146)</f>
        <v>P-010</v>
      </c>
      <c r="B146" t="str">
        <f>IFERROR(VLOOKUP($A146,'2. ITEM MASTER'!$A:$D,2,FALSE),"")</f>
        <v>UPVC 1 UNION</v>
      </c>
      <c r="C146" t="str">
        <f>IFERROR(VLOOKUP($A146,'2. ITEM MASTER'!$A:$D,3,FALSE),"")</f>
        <v>Plumbing</v>
      </c>
      <c r="D146" s="3">
        <f>IF($A146="","",SUMIF('3. STOCK IN'!$B:$B,$A146,'3. STOCK IN'!$E:$E))</f>
        <v>0</v>
      </c>
      <c r="E146" s="3">
        <f>IF($A146="","",SUMIF('4. STOCK OUT'!$B:$B,$A146,'4. STOCK OUT'!$E:$E))</f>
        <v>0</v>
      </c>
      <c r="F146" s="3">
        <f t="shared" si="2"/>
        <v>0</v>
      </c>
      <c r="G146" t="str">
        <f>IF($A146="","",IFERROR(IF($F146&lt;=0,"OUT OF STOCK",IF($F146&lt;=VLOOKUP($A146,'2. ITEM MASTER'!$A:$D,4,FALSE),"LOW STOCK","OK")),""))</f>
        <v>OUT OF STOCK</v>
      </c>
    </row>
    <row r="147" spans="1:7" x14ac:dyDescent="0.35">
      <c r="A147" t="str">
        <f>IF('2. ITEM MASTER'!A147="","",'2. ITEM MASTER'!A147)</f>
        <v>P-011</v>
      </c>
      <c r="B147" t="str">
        <f>IFERROR(VLOOKUP($A147,'2. ITEM MASTER'!$A:$D,2,FALSE),"")</f>
        <v>UPVC 1MT PLASTIC</v>
      </c>
      <c r="C147" t="str">
        <f>IFERROR(VLOOKUP($A147,'2. ITEM MASTER'!$A:$D,3,FALSE),"")</f>
        <v>Plumbing</v>
      </c>
      <c r="D147" s="3">
        <f>IF($A147="","",SUMIF('3. STOCK IN'!$B:$B,$A147,'3. STOCK IN'!$E:$E))</f>
        <v>0</v>
      </c>
      <c r="E147" s="3">
        <f>IF($A147="","",SUMIF('4. STOCK OUT'!$B:$B,$A147,'4. STOCK OUT'!$E:$E))</f>
        <v>0</v>
      </c>
      <c r="F147" s="3">
        <f t="shared" si="2"/>
        <v>0</v>
      </c>
      <c r="G147" t="str">
        <f>IF($A147="","",IFERROR(IF($F147&lt;=0,"OUT OF STOCK",IF($F147&lt;=VLOOKUP($A147,'2. ITEM MASTER'!$A:$D,4,FALSE),"LOW STOCK","OK")),""))</f>
        <v>OUT OF STOCK</v>
      </c>
    </row>
    <row r="148" spans="1:7" x14ac:dyDescent="0.35">
      <c r="A148" t="str">
        <f>IF('2. ITEM MASTER'!A148="","",'2. ITEM MASTER'!A148)</f>
        <v>P-012</v>
      </c>
      <c r="B148" t="str">
        <f>IFERROR(VLOOKUP($A148,'2. ITEM MASTER'!$A:$D,2,FALSE),"")</f>
        <v>UPAVC 1 TANK NIPPAL</v>
      </c>
      <c r="C148" t="str">
        <f>IFERROR(VLOOKUP($A148,'2. ITEM MASTER'!$A:$D,3,FALSE),"")</f>
        <v>Plumbing</v>
      </c>
      <c r="D148" s="3">
        <f>IF($A148="","",SUMIF('3. STOCK IN'!$B:$B,$A148,'3. STOCK IN'!$E:$E))</f>
        <v>0</v>
      </c>
      <c r="E148" s="3">
        <f>IF($A148="","",SUMIF('4. STOCK OUT'!$B:$B,$A148,'4. STOCK OUT'!$E:$E))</f>
        <v>0</v>
      </c>
      <c r="F148" s="3">
        <f t="shared" si="2"/>
        <v>0</v>
      </c>
      <c r="G148" t="str">
        <f>IF($A148="","",IFERROR(IF($F148&lt;=0,"OUT OF STOCK",IF($F148&lt;=VLOOKUP($A148,'2. ITEM MASTER'!$A:$D,4,FALSE),"LOW STOCK","OK")),""))</f>
        <v>OUT OF STOCK</v>
      </c>
    </row>
    <row r="149" spans="1:7" x14ac:dyDescent="0.35">
      <c r="A149" t="str">
        <f>IF('2. ITEM MASTER'!A149="","",'2. ITEM MASTER'!A149)</f>
        <v>P-013</v>
      </c>
      <c r="B149" t="str">
        <f>IFERROR(VLOOKUP($A149,'2. ITEM MASTER'!$A:$D,2,FALSE),"")</f>
        <v>UPVC 1 Y STRAINER</v>
      </c>
      <c r="C149" t="str">
        <f>IFERROR(VLOOKUP($A149,'2. ITEM MASTER'!$A:$D,3,FALSE),"")</f>
        <v>Plumbing</v>
      </c>
      <c r="D149" s="3">
        <f>IF($A149="","",SUMIF('3. STOCK IN'!$B:$B,$A149,'3. STOCK IN'!$E:$E))</f>
        <v>0</v>
      </c>
      <c r="E149" s="3">
        <f>IF($A149="","",SUMIF('4. STOCK OUT'!$B:$B,$A149,'4. STOCK OUT'!$E:$E))</f>
        <v>0</v>
      </c>
      <c r="F149" s="3">
        <f t="shared" si="2"/>
        <v>0</v>
      </c>
      <c r="G149" t="str">
        <f>IF($A149="","",IFERROR(IF($F149&lt;=0,"OUT OF STOCK",IF($F149&lt;=VLOOKUP($A149,'2. ITEM MASTER'!$A:$D,4,FALSE),"LOW STOCK","OK")),""))</f>
        <v>OUT OF STOCK</v>
      </c>
    </row>
    <row r="150" spans="1:7" x14ac:dyDescent="0.35">
      <c r="A150" t="str">
        <f>IF('2. ITEM MASTER'!A150="","",'2. ITEM MASTER'!A150)</f>
        <v>P-014</v>
      </c>
      <c r="B150" t="str">
        <f>IFERROR(VLOOKUP($A150,'2. ITEM MASTER'!$A:$D,2,FALSE),"")</f>
        <v>UPVC 1 BUSH 1X0.5</v>
      </c>
      <c r="C150" t="str">
        <f>IFERROR(VLOOKUP($A150,'2. ITEM MASTER'!$A:$D,3,FALSE),"")</f>
        <v>Plumbing</v>
      </c>
      <c r="D150" s="3">
        <f>IF($A150="","",SUMIF('3. STOCK IN'!$B:$B,$A150,'3. STOCK IN'!$E:$E))</f>
        <v>0</v>
      </c>
      <c r="E150" s="3">
        <f>IF($A150="","",SUMIF('4. STOCK OUT'!$B:$B,$A150,'4. STOCK OUT'!$E:$E))</f>
        <v>0</v>
      </c>
      <c r="F150" s="3">
        <f t="shared" si="2"/>
        <v>0</v>
      </c>
      <c r="G150" t="str">
        <f>IF($A150="","",IFERROR(IF($F150&lt;=0,"OUT OF STOCK",IF($F150&lt;=VLOOKUP($A150,'2. ITEM MASTER'!$A:$D,4,FALSE),"LOW STOCK","OK")),""))</f>
        <v>OUT OF STOCK</v>
      </c>
    </row>
    <row r="151" spans="1:7" x14ac:dyDescent="0.35">
      <c r="A151" t="str">
        <f>IF('2. ITEM MASTER'!A151="","",'2. ITEM MASTER'!A151)</f>
        <v>P-015</v>
      </c>
      <c r="B151" t="str">
        <f>IFERROR(VLOOKUP($A151,'2. ITEM MASTER'!$A:$D,2,FALSE),"")</f>
        <v>UPVC 1 BALL COCK</v>
      </c>
      <c r="C151" t="str">
        <f>IFERROR(VLOOKUP($A151,'2. ITEM MASTER'!$A:$D,3,FALSE),"")</f>
        <v>Plumbing</v>
      </c>
      <c r="D151" s="3">
        <f>IF($A151="","",SUMIF('3. STOCK IN'!$B:$B,$A151,'3. STOCK IN'!$E:$E))</f>
        <v>0</v>
      </c>
      <c r="E151" s="3">
        <f>IF($A151="","",SUMIF('4. STOCK OUT'!$B:$B,$A151,'4. STOCK OUT'!$E:$E))</f>
        <v>0</v>
      </c>
      <c r="F151" s="3">
        <f t="shared" si="2"/>
        <v>0</v>
      </c>
      <c r="G151" t="str">
        <f>IF($A151="","",IFERROR(IF($F151&lt;=0,"OUT OF STOCK",IF($F151&lt;=VLOOKUP($A151,'2. ITEM MASTER'!$A:$D,4,FALSE),"LOW STOCK","OK")),""))</f>
        <v>OUT OF STOCK</v>
      </c>
    </row>
    <row r="152" spans="1:7" x14ac:dyDescent="0.35">
      <c r="A152" t="str">
        <f>IF('2. ITEM MASTER'!A152="","",'2. ITEM MASTER'!A152)</f>
        <v>P-016</v>
      </c>
      <c r="B152" t="str">
        <f>IFERROR(VLOOKUP($A152,'2. ITEM MASTER'!$A:$D,2,FALSE),"")</f>
        <v>UPVC 2 UNION</v>
      </c>
      <c r="C152" t="str">
        <f>IFERROR(VLOOKUP($A152,'2. ITEM MASTER'!$A:$D,3,FALSE),"")</f>
        <v>Plumbing</v>
      </c>
      <c r="D152" s="3">
        <f>IF($A152="","",SUMIF('3. STOCK IN'!$B:$B,$A152,'3. STOCK IN'!$E:$E))</f>
        <v>0</v>
      </c>
      <c r="E152" s="3">
        <f>IF($A152="","",SUMIF('4. STOCK OUT'!$B:$B,$A152,'4. STOCK OUT'!$E:$E))</f>
        <v>0</v>
      </c>
      <c r="F152" s="3">
        <f t="shared" si="2"/>
        <v>0</v>
      </c>
      <c r="G152" t="str">
        <f>IF($A152="","",IFERROR(IF($F152&lt;=0,"OUT OF STOCK",IF($F152&lt;=VLOOKUP($A152,'2. ITEM MASTER'!$A:$D,4,FALSE),"LOW STOCK","OK")),""))</f>
        <v>OUT OF STOCK</v>
      </c>
    </row>
    <row r="153" spans="1:7" x14ac:dyDescent="0.35">
      <c r="A153" t="str">
        <f>IF('2. ITEM MASTER'!A153="","",'2. ITEM MASTER'!A153)</f>
        <v>P-017</v>
      </c>
      <c r="B153" t="str">
        <f>IFERROR(VLOOKUP($A153,'2. ITEM MASTER'!$A:$D,2,FALSE),"")</f>
        <v>UPVC 2 BALL COCK</v>
      </c>
      <c r="C153" t="str">
        <f>IFERROR(VLOOKUP($A153,'2. ITEM MASTER'!$A:$D,3,FALSE),"")</f>
        <v>Plumbing</v>
      </c>
      <c r="D153" s="3">
        <f>IF($A153="","",SUMIF('3. STOCK IN'!$B:$B,$A153,'3. STOCK IN'!$E:$E))</f>
        <v>0</v>
      </c>
      <c r="E153" s="3">
        <f>IF($A153="","",SUMIF('4. STOCK OUT'!$B:$B,$A153,'4. STOCK OUT'!$E:$E))</f>
        <v>0</v>
      </c>
      <c r="F153" s="3">
        <f t="shared" si="2"/>
        <v>0</v>
      </c>
      <c r="G153" t="str">
        <f>IF($A153="","",IFERROR(IF($F153&lt;=0,"OUT OF STOCK",IF($F153&lt;=VLOOKUP($A153,'2. ITEM MASTER'!$A:$D,4,FALSE),"LOW STOCK","OK")),""))</f>
        <v>OUT OF STOCK</v>
      </c>
    </row>
    <row r="154" spans="1:7" x14ac:dyDescent="0.35">
      <c r="A154" t="str">
        <f>IF('2. ITEM MASTER'!A154="","",'2. ITEM MASTER'!A154)</f>
        <v>P-018</v>
      </c>
      <c r="B154" t="str">
        <f>IFERROR(VLOOKUP($A154,'2. ITEM MASTER'!$A:$D,2,FALSE),"")</f>
        <v>UPVC 2CAPLING</v>
      </c>
      <c r="C154" t="str">
        <f>IFERROR(VLOOKUP($A154,'2. ITEM MASTER'!$A:$D,3,FALSE),"")</f>
        <v>Plumbing</v>
      </c>
      <c r="D154" s="3">
        <f>IF($A154="","",SUMIF('3. STOCK IN'!$B:$B,$A154,'3. STOCK IN'!$E:$E))</f>
        <v>0</v>
      </c>
      <c r="E154" s="3">
        <f>IF($A154="","",SUMIF('4. STOCK OUT'!$B:$B,$A154,'4. STOCK OUT'!$E:$E))</f>
        <v>0</v>
      </c>
      <c r="F154" s="3">
        <f t="shared" si="2"/>
        <v>0</v>
      </c>
      <c r="G154" t="str">
        <f>IF($A154="","",IFERROR(IF($F154&lt;=0,"OUT OF STOCK",IF($F154&lt;=VLOOKUP($A154,'2. ITEM MASTER'!$A:$D,4,FALSE),"LOW STOCK","OK")),""))</f>
        <v>OUT OF STOCK</v>
      </c>
    </row>
    <row r="155" spans="1:7" x14ac:dyDescent="0.35">
      <c r="A155" t="str">
        <f>IF('2. ITEM MASTER'!A155="","",'2. ITEM MASTER'!A155)</f>
        <v>P-019</v>
      </c>
      <c r="B155" t="str">
        <f>IFERROR(VLOOKUP($A155,'2. ITEM MASTER'!$A:$D,2,FALSE),"")</f>
        <v>UPVC 2 TEE</v>
      </c>
      <c r="C155" t="str">
        <f>IFERROR(VLOOKUP($A155,'2. ITEM MASTER'!$A:$D,3,FALSE),"")</f>
        <v>Plumbing</v>
      </c>
      <c r="D155" s="3">
        <f>IF($A155="","",SUMIF('3. STOCK IN'!$B:$B,$A155,'3. STOCK IN'!$E:$E))</f>
        <v>0</v>
      </c>
      <c r="E155" s="3">
        <f>IF($A155="","",SUMIF('4. STOCK OUT'!$B:$B,$A155,'4. STOCK OUT'!$E:$E))</f>
        <v>0</v>
      </c>
      <c r="F155" s="3">
        <f t="shared" si="2"/>
        <v>0</v>
      </c>
      <c r="G155" t="str">
        <f>IF($A155="","",IFERROR(IF($F155&lt;=0,"OUT OF STOCK",IF($F155&lt;=VLOOKUP($A155,'2. ITEM MASTER'!$A:$D,4,FALSE),"LOW STOCK","OK")),""))</f>
        <v>OUT OF STOCK</v>
      </c>
    </row>
    <row r="156" spans="1:7" x14ac:dyDescent="0.35">
      <c r="A156" t="str">
        <f>IF('2. ITEM MASTER'!A156="","",'2. ITEM MASTER'!A156)</f>
        <v>P-020</v>
      </c>
      <c r="B156" t="str">
        <f>IFERROR(VLOOKUP($A156,'2. ITEM MASTER'!$A:$D,2,FALSE),"")</f>
        <v>UPVC 2 TANK NOPPLE</v>
      </c>
      <c r="C156" t="str">
        <f>IFERROR(VLOOKUP($A156,'2. ITEM MASTER'!$A:$D,3,FALSE),"")</f>
        <v>Plumbing</v>
      </c>
      <c r="D156" s="3">
        <f>IF($A156="","",SUMIF('3. STOCK IN'!$B:$B,$A156,'3. STOCK IN'!$E:$E))</f>
        <v>0</v>
      </c>
      <c r="E156" s="3">
        <f>IF($A156="","",SUMIF('4. STOCK OUT'!$B:$B,$A156,'4. STOCK OUT'!$E:$E))</f>
        <v>0</v>
      </c>
      <c r="F156" s="3">
        <f t="shared" si="2"/>
        <v>0</v>
      </c>
      <c r="G156" t="str">
        <f>IF($A156="","",IFERROR(IF($F156&lt;=0,"OUT OF STOCK",IF($F156&lt;=VLOOKUP($A156,'2. ITEM MASTER'!$A:$D,4,FALSE),"LOW STOCK","OK")),""))</f>
        <v>OUT OF STOCK</v>
      </c>
    </row>
    <row r="157" spans="1:7" x14ac:dyDescent="0.35">
      <c r="A157" t="str">
        <f>IF('2. ITEM MASTER'!A157="","",'2. ITEM MASTER'!A157)</f>
        <v>P-021</v>
      </c>
      <c r="B157" t="str">
        <f>IFERROR(VLOOKUP($A157,'2. ITEM MASTER'!$A:$D,2,FALSE),"")</f>
        <v>UPVC 2X1 REDUCER</v>
      </c>
      <c r="C157" t="str">
        <f>IFERROR(VLOOKUP($A157,'2. ITEM MASTER'!$A:$D,3,FALSE),"")</f>
        <v>Plumbing</v>
      </c>
      <c r="D157" s="3">
        <f>IF($A157="","",SUMIF('3. STOCK IN'!$B:$B,$A157,'3. STOCK IN'!$E:$E))</f>
        <v>0</v>
      </c>
      <c r="E157" s="3">
        <f>IF($A157="","",SUMIF('4. STOCK OUT'!$B:$B,$A157,'4. STOCK OUT'!$E:$E))</f>
        <v>0</v>
      </c>
      <c r="F157" s="3">
        <f t="shared" si="2"/>
        <v>0</v>
      </c>
      <c r="G157" t="str">
        <f>IF($A157="","",IFERROR(IF($F157&lt;=0,"OUT OF STOCK",IF($F157&lt;=VLOOKUP($A157,'2. ITEM MASTER'!$A:$D,4,FALSE),"LOW STOCK","OK")),""))</f>
        <v>OUT OF STOCK</v>
      </c>
    </row>
    <row r="158" spans="1:7" x14ac:dyDescent="0.35">
      <c r="A158" t="str">
        <f>IF('2. ITEM MASTER'!A158="","",'2. ITEM MASTER'!A158)</f>
        <v>P-022</v>
      </c>
      <c r="B158" t="str">
        <f>IFERROR(VLOOKUP($A158,'2. ITEM MASTER'!$A:$D,2,FALSE),"")</f>
        <v>UPVC 2 ELBOW</v>
      </c>
      <c r="C158" t="str">
        <f>IFERROR(VLOOKUP($A158,'2. ITEM MASTER'!$A:$D,3,FALSE),"")</f>
        <v>Plumbing</v>
      </c>
      <c r="D158" s="3">
        <f>IF($A158="","",SUMIF('3. STOCK IN'!$B:$B,$A158,'3. STOCK IN'!$E:$E))</f>
        <v>0</v>
      </c>
      <c r="E158" s="3">
        <f>IF($A158="","",SUMIF('4. STOCK OUT'!$B:$B,$A158,'4. STOCK OUT'!$E:$E))</f>
        <v>0</v>
      </c>
      <c r="F158" s="3">
        <f t="shared" si="2"/>
        <v>0</v>
      </c>
      <c r="G158" t="str">
        <f>IF($A158="","",IFERROR(IF($F158&lt;=0,"OUT OF STOCK",IF($F158&lt;=VLOOKUP($A158,'2. ITEM MASTER'!$A:$D,4,FALSE),"LOW STOCK","OK")),""))</f>
        <v>OUT OF STOCK</v>
      </c>
    </row>
    <row r="159" spans="1:7" x14ac:dyDescent="0.35">
      <c r="A159" t="str">
        <f>IF('2. ITEM MASTER'!A159="","",'2. ITEM MASTER'!A159)</f>
        <v>P-023</v>
      </c>
      <c r="B159" t="str">
        <f>IFERROR(VLOOKUP($A159,'2. ITEM MASTER'!$A:$D,2,FALSE),"")</f>
        <v>UPVC 0.5 MT PLASTIC</v>
      </c>
      <c r="C159" t="str">
        <f>IFERROR(VLOOKUP($A159,'2. ITEM MASTER'!$A:$D,3,FALSE),"")</f>
        <v>Plumbing</v>
      </c>
      <c r="D159" s="3">
        <f>IF($A159="","",SUMIF('3. STOCK IN'!$B:$B,$A159,'3. STOCK IN'!$E:$E))</f>
        <v>0</v>
      </c>
      <c r="E159" s="3">
        <f>IF($A159="","",SUMIF('4. STOCK OUT'!$B:$B,$A159,'4. STOCK OUT'!$E:$E))</f>
        <v>0</v>
      </c>
      <c r="F159" s="3">
        <f t="shared" si="2"/>
        <v>0</v>
      </c>
      <c r="G159" t="str">
        <f>IF($A159="","",IFERROR(IF($F159&lt;=0,"OUT OF STOCK",IF($F159&lt;=VLOOKUP($A159,'2. ITEM MASTER'!$A:$D,4,FALSE),"LOW STOCK","OK")),""))</f>
        <v>OUT OF STOCK</v>
      </c>
    </row>
    <row r="160" spans="1:7" x14ac:dyDescent="0.35">
      <c r="A160" t="str">
        <f>IF('2. ITEM MASTER'!A160="","",'2. ITEM MASTER'!A160)</f>
        <v>P-024</v>
      </c>
      <c r="B160" t="str">
        <f>IFERROR(VLOOKUP($A160,'2. ITEM MASTER'!$A:$D,2,FALSE),"")</f>
        <v>UPVC 0.5 UNION</v>
      </c>
      <c r="C160" t="str">
        <f>IFERROR(VLOOKUP($A160,'2. ITEM MASTER'!$A:$D,3,FALSE),"")</f>
        <v>Plumbing</v>
      </c>
      <c r="D160" s="3">
        <f>IF($A160="","",SUMIF('3. STOCK IN'!$B:$B,$A160,'3. STOCK IN'!$E:$E))</f>
        <v>0</v>
      </c>
      <c r="E160" s="3">
        <f>IF($A160="","",SUMIF('4. STOCK OUT'!$B:$B,$A160,'4. STOCK OUT'!$E:$E))</f>
        <v>0</v>
      </c>
      <c r="F160" s="3">
        <f t="shared" si="2"/>
        <v>0</v>
      </c>
      <c r="G160" t="str">
        <f>IF($A160="","",IFERROR(IF($F160&lt;=0,"OUT OF STOCK",IF($F160&lt;=VLOOKUP($A160,'2. ITEM MASTER'!$A:$D,4,FALSE),"LOW STOCK","OK")),""))</f>
        <v>OUT OF STOCK</v>
      </c>
    </row>
    <row r="161" spans="1:7" x14ac:dyDescent="0.35">
      <c r="A161" t="str">
        <f>IF('2. ITEM MASTER'!A161="","",'2. ITEM MASTER'!A161)</f>
        <v>P-025</v>
      </c>
      <c r="B161" t="str">
        <f>IFERROR(VLOOKUP($A161,'2. ITEM MASTER'!$A:$D,2,FALSE),"")</f>
        <v>UPVC 0.5 BRASS FT</v>
      </c>
      <c r="C161" t="str">
        <f>IFERROR(VLOOKUP($A161,'2. ITEM MASTER'!$A:$D,3,FALSE),"")</f>
        <v>Plumbing</v>
      </c>
      <c r="D161" s="3">
        <f>IF($A161="","",SUMIF('3. STOCK IN'!$B:$B,$A161,'3. STOCK IN'!$E:$E))</f>
        <v>0</v>
      </c>
      <c r="E161" s="3">
        <f>IF($A161="","",SUMIF('4. STOCK OUT'!$B:$B,$A161,'4. STOCK OUT'!$E:$E))</f>
        <v>0</v>
      </c>
      <c r="F161" s="3">
        <f t="shared" si="2"/>
        <v>0</v>
      </c>
      <c r="G161" t="str">
        <f>IF($A161="","",IFERROR(IF($F161&lt;=0,"OUT OF STOCK",IF($F161&lt;=VLOOKUP($A161,'2. ITEM MASTER'!$A:$D,4,FALSE),"LOW STOCK","OK")),""))</f>
        <v>OUT OF STOCK</v>
      </c>
    </row>
    <row r="162" spans="1:7" x14ac:dyDescent="0.35">
      <c r="A162" t="str">
        <f>IF('2. ITEM MASTER'!A162="","",'2. ITEM MASTER'!A162)</f>
        <v>P-026</v>
      </c>
      <c r="B162" t="str">
        <f>IFERROR(VLOOKUP($A162,'2. ITEM MASTER'!$A:$D,2,FALSE),"")</f>
        <v>UPVC 0.5 BRASS MT</v>
      </c>
      <c r="C162" t="str">
        <f>IFERROR(VLOOKUP($A162,'2. ITEM MASTER'!$A:$D,3,FALSE),"")</f>
        <v>Plumbing</v>
      </c>
      <c r="D162" s="3">
        <f>IF($A162="","",SUMIF('3. STOCK IN'!$B:$B,$A162,'3. STOCK IN'!$E:$E))</f>
        <v>0</v>
      </c>
      <c r="E162" s="3">
        <f>IF($A162="","",SUMIF('4. STOCK OUT'!$B:$B,$A162,'4. STOCK OUT'!$E:$E))</f>
        <v>0</v>
      </c>
      <c r="F162" s="3">
        <f t="shared" si="2"/>
        <v>0</v>
      </c>
      <c r="G162" t="str">
        <f>IF($A162="","",IFERROR(IF($F162&lt;=0,"OUT OF STOCK",IF($F162&lt;=VLOOKUP($A162,'2. ITEM MASTER'!$A:$D,4,FALSE),"LOW STOCK","OK")),""))</f>
        <v>OUT OF STOCK</v>
      </c>
    </row>
    <row r="163" spans="1:7" x14ac:dyDescent="0.35">
      <c r="A163" t="str">
        <f>IF('2. ITEM MASTER'!A163="","",'2. ITEM MASTER'!A163)</f>
        <v>P-027</v>
      </c>
      <c r="B163" t="str">
        <f>IFERROR(VLOOKUP($A163,'2. ITEM MASTER'!$A:$D,2,FALSE),"")</f>
        <v>UPVC 0.5 BRASS ELBOW</v>
      </c>
      <c r="C163" t="str">
        <f>IFERROR(VLOOKUP($A163,'2. ITEM MASTER'!$A:$D,3,FALSE),"")</f>
        <v>Plumbing</v>
      </c>
      <c r="D163" s="3">
        <f>IF($A163="","",SUMIF('3. STOCK IN'!$B:$B,$A163,'3. STOCK IN'!$E:$E))</f>
        <v>0</v>
      </c>
      <c r="E163" s="3">
        <f>IF($A163="","",SUMIF('4. STOCK OUT'!$B:$B,$A163,'4. STOCK OUT'!$E:$E))</f>
        <v>0</v>
      </c>
      <c r="F163" s="3">
        <f t="shared" si="2"/>
        <v>0</v>
      </c>
      <c r="G163" t="str">
        <f>IF($A163="","",IFERROR(IF($F163&lt;=0,"OUT OF STOCK",IF($F163&lt;=VLOOKUP($A163,'2. ITEM MASTER'!$A:$D,4,FALSE),"LOW STOCK","OK")),""))</f>
        <v>OUT OF STOCK</v>
      </c>
    </row>
    <row r="164" spans="1:7" x14ac:dyDescent="0.35">
      <c r="A164" t="str">
        <f>IF('2. ITEM MASTER'!A164="","",'2. ITEM MASTER'!A164)</f>
        <v>P-028</v>
      </c>
      <c r="B164" t="str">
        <f>IFERROR(VLOOKUP($A164,'2. ITEM MASTER'!$A:$D,2,FALSE),"")</f>
        <v>UPVC0.5 TEE</v>
      </c>
      <c r="C164" t="str">
        <f>IFERROR(VLOOKUP($A164,'2. ITEM MASTER'!$A:$D,3,FALSE),"")</f>
        <v>Plumbing</v>
      </c>
      <c r="D164" s="3">
        <f>IF($A164="","",SUMIF('3. STOCK IN'!$B:$B,$A164,'3. STOCK IN'!$E:$E))</f>
        <v>0</v>
      </c>
      <c r="E164" s="3">
        <f>IF($A164="","",SUMIF('4. STOCK OUT'!$B:$B,$A164,'4. STOCK OUT'!$E:$E))</f>
        <v>0</v>
      </c>
      <c r="F164" s="3">
        <f t="shared" si="2"/>
        <v>0</v>
      </c>
      <c r="G164" t="str">
        <f>IF($A164="","",IFERROR(IF($F164&lt;=0,"OUT OF STOCK",IF($F164&lt;=VLOOKUP($A164,'2. ITEM MASTER'!$A:$D,4,FALSE),"LOW STOCK","OK")),""))</f>
        <v>OUT OF STOCK</v>
      </c>
    </row>
    <row r="165" spans="1:7" x14ac:dyDescent="0.35">
      <c r="A165" t="str">
        <f>IF('2. ITEM MASTER'!A165="","",'2. ITEM MASTER'!A165)</f>
        <v>P-029</v>
      </c>
      <c r="B165" t="str">
        <f>IFERROR(VLOOKUP($A165,'2. ITEM MASTER'!$A:$D,2,FALSE),"")</f>
        <v>UPVC 0.5 ELBOW</v>
      </c>
      <c r="C165" t="str">
        <f>IFERROR(VLOOKUP($A165,'2. ITEM MASTER'!$A:$D,3,FALSE),"")</f>
        <v>Plumbing</v>
      </c>
      <c r="D165" s="3">
        <f>IF($A165="","",SUMIF('3. STOCK IN'!$B:$B,$A165,'3. STOCK IN'!$E:$E))</f>
        <v>0</v>
      </c>
      <c r="E165" s="3">
        <f>IF($A165="","",SUMIF('4. STOCK OUT'!$B:$B,$A165,'4. STOCK OUT'!$E:$E))</f>
        <v>0</v>
      </c>
      <c r="F165" s="3">
        <f t="shared" si="2"/>
        <v>0</v>
      </c>
      <c r="G165" t="str">
        <f>IF($A165="","",IFERROR(IF($F165&lt;=0,"OUT OF STOCK",IF($F165&lt;=VLOOKUP($A165,'2. ITEM MASTER'!$A:$D,4,FALSE),"LOW STOCK","OK")),""))</f>
        <v>OUT OF STOCK</v>
      </c>
    </row>
    <row r="166" spans="1:7" x14ac:dyDescent="0.35">
      <c r="A166" t="str">
        <f>IF('2. ITEM MASTER'!A166="","",'2. ITEM MASTER'!A166)</f>
        <v>P-030</v>
      </c>
      <c r="B166" t="str">
        <f>IFERROR(VLOOKUP($A166,'2. ITEM MASTER'!$A:$D,2,FALSE),"")</f>
        <v>UPVC 0.5 COUPPLER</v>
      </c>
      <c r="C166" t="str">
        <f>IFERROR(VLOOKUP($A166,'2. ITEM MASTER'!$A:$D,3,FALSE),"")</f>
        <v>Plumbing</v>
      </c>
      <c r="D166" s="3">
        <f>IF($A166="","",SUMIF('3. STOCK IN'!$B:$B,$A166,'3. STOCK IN'!$E:$E))</f>
        <v>0</v>
      </c>
      <c r="E166" s="3">
        <f>IF($A166="","",SUMIF('4. STOCK OUT'!$B:$B,$A166,'4. STOCK OUT'!$E:$E))</f>
        <v>0</v>
      </c>
      <c r="F166" s="3">
        <f t="shared" si="2"/>
        <v>0</v>
      </c>
      <c r="G166" t="str">
        <f>IF($A166="","",IFERROR(IF($F166&lt;=0,"OUT OF STOCK",IF($F166&lt;=VLOOKUP($A166,'2. ITEM MASTER'!$A:$D,4,FALSE),"LOW STOCK","OK")),""))</f>
        <v>OUT OF STOCK</v>
      </c>
    </row>
    <row r="167" spans="1:7" x14ac:dyDescent="0.35">
      <c r="A167" t="str">
        <f>IF('2. ITEM MASTER'!A167="","",'2. ITEM MASTER'!A167)</f>
        <v>P-031</v>
      </c>
      <c r="B167" t="str">
        <f>IFERROR(VLOOKUP($A167,'2. ITEM MASTER'!$A:$D,2,FALSE),"")</f>
        <v>BOTTOL TRAP</v>
      </c>
      <c r="C167" t="str">
        <f>IFERROR(VLOOKUP($A167,'2. ITEM MASTER'!$A:$D,3,FALSE),"")</f>
        <v>Plumbing</v>
      </c>
      <c r="D167" s="3">
        <f>IF($A167="","",SUMIF('3. STOCK IN'!$B:$B,$A167,'3. STOCK IN'!$E:$E))</f>
        <v>0</v>
      </c>
      <c r="E167" s="3">
        <f>IF($A167="","",SUMIF('4. STOCK OUT'!$B:$B,$A167,'4. STOCK OUT'!$E:$E))</f>
        <v>0</v>
      </c>
      <c r="F167" s="3">
        <f t="shared" si="2"/>
        <v>0</v>
      </c>
      <c r="G167" t="str">
        <f>IF($A167="","",IFERROR(IF($F167&lt;=0,"OUT OF STOCK",IF($F167&lt;=VLOOKUP($A167,'2. ITEM MASTER'!$A:$D,4,FALSE),"LOW STOCK","OK")),""))</f>
        <v>OUT OF STOCK</v>
      </c>
    </row>
    <row r="168" spans="1:7" x14ac:dyDescent="0.35">
      <c r="A168" t="str">
        <f>IF('2. ITEM MASTER'!A168="","",'2. ITEM MASTER'!A168)</f>
        <v>P-032</v>
      </c>
      <c r="B168" t="str">
        <f>IFERROR(VLOOKUP($A168,'2. ITEM MASTER'!$A:$D,2,FALSE),"")</f>
        <v>PUSH COCK</v>
      </c>
      <c r="C168" t="str">
        <f>IFERROR(VLOOKUP($A168,'2. ITEM MASTER'!$A:$D,3,FALSE),"")</f>
        <v>Plumbing</v>
      </c>
      <c r="D168" s="3">
        <f>IF($A168="","",SUMIF('3. STOCK IN'!$B:$B,$A168,'3. STOCK IN'!$E:$E))</f>
        <v>0</v>
      </c>
      <c r="E168" s="3">
        <f>IF($A168="","",SUMIF('4. STOCK OUT'!$B:$B,$A168,'4. STOCK OUT'!$E:$E))</f>
        <v>0</v>
      </c>
      <c r="F168" s="3">
        <f t="shared" si="2"/>
        <v>0</v>
      </c>
      <c r="G168" t="str">
        <f>IF($A168="","",IFERROR(IF($F168&lt;=0,"OUT OF STOCK",IF($F168&lt;=VLOOKUP($A168,'2. ITEM MASTER'!$A:$D,4,FALSE),"LOW STOCK","OK")),""))</f>
        <v>OUT OF STOCK</v>
      </c>
    </row>
    <row r="169" spans="1:7" x14ac:dyDescent="0.35">
      <c r="A169" t="str">
        <f>IF('2. ITEM MASTER'!A169="","",'2. ITEM MASTER'!A169)</f>
        <v>P-033</v>
      </c>
      <c r="B169" t="str">
        <f>IFERROR(VLOOKUP($A169,'2. ITEM MASTER'!$A:$D,2,FALSE),"")</f>
        <v>SHOWER COCK</v>
      </c>
      <c r="C169" t="str">
        <f>IFERROR(VLOOKUP($A169,'2. ITEM MASTER'!$A:$D,3,FALSE),"")</f>
        <v>Plumbing</v>
      </c>
      <c r="D169" s="3">
        <f>IF($A169="","",SUMIF('3. STOCK IN'!$B:$B,$A169,'3. STOCK IN'!$E:$E))</f>
        <v>0</v>
      </c>
      <c r="E169" s="3">
        <f>IF($A169="","",SUMIF('4. STOCK OUT'!$B:$B,$A169,'4. STOCK OUT'!$E:$E))</f>
        <v>0</v>
      </c>
      <c r="F169" s="3">
        <f t="shared" si="2"/>
        <v>0</v>
      </c>
      <c r="G169" t="str">
        <f>IF($A169="","",IFERROR(IF($F169&lt;=0,"OUT OF STOCK",IF($F169&lt;=VLOOKUP($A169,'2. ITEM MASTER'!$A:$D,4,FALSE),"LOW STOCK","OK")),""))</f>
        <v>OUT OF STOCK</v>
      </c>
    </row>
    <row r="170" spans="1:7" x14ac:dyDescent="0.35">
      <c r="A170" t="str">
        <f>IF('2. ITEM MASTER'!A170="","",'2. ITEM MASTER'!A170)</f>
        <v>P-034</v>
      </c>
      <c r="B170" t="str">
        <f>IFERROR(VLOOKUP($A170,'2. ITEM MASTER'!$A:$D,2,FALSE),"")</f>
        <v>SHOWER PIPE TUB</v>
      </c>
      <c r="C170" t="str">
        <f>IFERROR(VLOOKUP($A170,'2. ITEM MASTER'!$A:$D,3,FALSE),"")</f>
        <v>Plumbing</v>
      </c>
      <c r="D170" s="3">
        <f>IF($A170="","",SUMIF('3. STOCK IN'!$B:$B,$A170,'3. STOCK IN'!$E:$E))</f>
        <v>0</v>
      </c>
      <c r="E170" s="3">
        <f>IF($A170="","",SUMIF('4. STOCK OUT'!$B:$B,$A170,'4. STOCK OUT'!$E:$E))</f>
        <v>0</v>
      </c>
      <c r="F170" s="3">
        <f t="shared" si="2"/>
        <v>0</v>
      </c>
      <c r="G170" t="str">
        <f>IF($A170="","",IFERROR(IF($F170&lt;=0,"OUT OF STOCK",IF($F170&lt;=VLOOKUP($A170,'2. ITEM MASTER'!$A:$D,4,FALSE),"LOW STOCK","OK")),""))</f>
        <v>OUT OF STOCK</v>
      </c>
    </row>
    <row r="171" spans="1:7" x14ac:dyDescent="0.35">
      <c r="A171" t="str">
        <f>IF('2. ITEM MASTER'!A171="","",'2. ITEM MASTER'!A171)</f>
        <v>P-035</v>
      </c>
      <c r="B171" t="str">
        <f>IFERROR(VLOOKUP($A171,'2. ITEM MASTER'!$A:$D,2,FALSE),"")</f>
        <v>HEX NIPPEL 0.5 BRASS</v>
      </c>
      <c r="C171" t="str">
        <f>IFERROR(VLOOKUP($A171,'2. ITEM MASTER'!$A:$D,3,FALSE),"")</f>
        <v>Plumbing</v>
      </c>
      <c r="D171" s="3">
        <f>IF($A171="","",SUMIF('3. STOCK IN'!$B:$B,$A171,'3. STOCK IN'!$E:$E))</f>
        <v>0</v>
      </c>
      <c r="E171" s="3">
        <f>IF($A171="","",SUMIF('4. STOCK OUT'!$B:$B,$A171,'4. STOCK OUT'!$E:$E))</f>
        <v>0</v>
      </c>
      <c r="F171" s="3">
        <f t="shared" si="2"/>
        <v>0</v>
      </c>
      <c r="G171" t="str">
        <f>IF($A171="","",IFERROR(IF($F171&lt;=0,"OUT OF STOCK",IF($F171&lt;=VLOOKUP($A171,'2. ITEM MASTER'!$A:$D,4,FALSE),"LOW STOCK","OK")),""))</f>
        <v>OUT OF STOCK</v>
      </c>
    </row>
    <row r="172" spans="1:7" x14ac:dyDescent="0.35">
      <c r="A172" t="str">
        <f>IF('2. ITEM MASTER'!A172="","",'2. ITEM MASTER'!A172)</f>
        <v>P-036</v>
      </c>
      <c r="B172" t="str">
        <f>IFERROR(VLOOKUP($A172,'2. ITEM MASTER'!$A:$D,2,FALSE),"")</f>
        <v>HEX NIPPEL 1 GI</v>
      </c>
      <c r="C172" t="str">
        <f>IFERROR(VLOOKUP($A172,'2. ITEM MASTER'!$A:$D,3,FALSE),"")</f>
        <v>Plumbing</v>
      </c>
      <c r="D172" s="3">
        <f>IF($A172="","",SUMIF('3. STOCK IN'!$B:$B,$A172,'3. STOCK IN'!$E:$E))</f>
        <v>0</v>
      </c>
      <c r="E172" s="3">
        <f>IF($A172="","",SUMIF('4. STOCK OUT'!$B:$B,$A172,'4. STOCK OUT'!$E:$E))</f>
        <v>0</v>
      </c>
      <c r="F172" s="3">
        <f t="shared" si="2"/>
        <v>0</v>
      </c>
      <c r="G172" t="str">
        <f>IF($A172="","",IFERROR(IF($F172&lt;=0,"OUT OF STOCK",IF($F172&lt;=VLOOKUP($A172,'2. ITEM MASTER'!$A:$D,4,FALSE),"LOW STOCK","OK")),""))</f>
        <v>OUT OF STOCK</v>
      </c>
    </row>
    <row r="173" spans="1:7" x14ac:dyDescent="0.35">
      <c r="A173" t="str">
        <f>IF('2. ITEM MASTER'!A173="","",'2. ITEM MASTER'!A173)</f>
        <v>P-037</v>
      </c>
      <c r="B173" t="str">
        <f>IFERROR(VLOOKUP($A173,'2. ITEM MASTER'!$A:$D,2,FALSE),"")</f>
        <v>SHOWER HEATH STAND</v>
      </c>
      <c r="C173" t="str">
        <f>IFERROR(VLOOKUP($A173,'2. ITEM MASTER'!$A:$D,3,FALSE),"")</f>
        <v>Plumbing</v>
      </c>
      <c r="D173" s="3">
        <f>IF($A173="","",SUMIF('3. STOCK IN'!$B:$B,$A173,'3. STOCK IN'!$E:$E))</f>
        <v>0</v>
      </c>
      <c r="E173" s="3">
        <f>IF($A173="","",SUMIF('4. STOCK OUT'!$B:$B,$A173,'4. STOCK OUT'!$E:$E))</f>
        <v>0</v>
      </c>
      <c r="F173" s="3">
        <f t="shared" si="2"/>
        <v>0</v>
      </c>
      <c r="G173" t="str">
        <f>IF($A173="","",IFERROR(IF($F173&lt;=0,"OUT OF STOCK",IF($F173&lt;=VLOOKUP($A173,'2. ITEM MASTER'!$A:$D,4,FALSE),"LOW STOCK","OK")),""))</f>
        <v>OUT OF STOCK</v>
      </c>
    </row>
    <row r="174" spans="1:7" x14ac:dyDescent="0.35">
      <c r="A174" t="str">
        <f>IF('2. ITEM MASTER'!A174="","",'2. ITEM MASTER'!A174)</f>
        <v>P-038</v>
      </c>
      <c r="B174" t="str">
        <f>IFERROR(VLOOKUP($A174,'2. ITEM MASTER'!$A:$D,2,FALSE),"")</f>
        <v>KOMBAD 4 INCH</v>
      </c>
      <c r="C174" t="str">
        <f>IFERROR(VLOOKUP($A174,'2. ITEM MASTER'!$A:$D,3,FALSE),"")</f>
        <v>Plumbing</v>
      </c>
      <c r="D174" s="3">
        <f>IF($A174="","",SUMIF('3. STOCK IN'!$B:$B,$A174,'3. STOCK IN'!$E:$E))</f>
        <v>0</v>
      </c>
      <c r="E174" s="3">
        <f>IF($A174="","",SUMIF('4. STOCK OUT'!$B:$B,$A174,'4. STOCK OUT'!$E:$E))</f>
        <v>0</v>
      </c>
      <c r="F174" s="3">
        <f t="shared" si="2"/>
        <v>0</v>
      </c>
      <c r="G174" t="str">
        <f>IF($A174="","",IFERROR(IF($F174&lt;=0,"OUT OF STOCK",IF($F174&lt;=VLOOKUP($A174,'2. ITEM MASTER'!$A:$D,4,FALSE),"LOW STOCK","OK")),""))</f>
        <v>OUT OF STOCK</v>
      </c>
    </row>
    <row r="175" spans="1:7" x14ac:dyDescent="0.35">
      <c r="A175" t="str">
        <f>IF('2. ITEM MASTER'!A175="","",'2. ITEM MASTER'!A175)</f>
        <v>P-039</v>
      </c>
      <c r="B175" t="str">
        <f>IFERROR(VLOOKUP($A175,'2. ITEM MASTER'!$A:$D,2,FALSE),"")</f>
        <v>WATER TANK 500</v>
      </c>
      <c r="C175" t="str">
        <f>IFERROR(VLOOKUP($A175,'2. ITEM MASTER'!$A:$D,3,FALSE),"")</f>
        <v>Plumbing</v>
      </c>
      <c r="D175" s="3">
        <f>IF($A175="","",SUMIF('3. STOCK IN'!$B:$B,$A175,'3. STOCK IN'!$E:$E))</f>
        <v>12</v>
      </c>
      <c r="E175" s="3">
        <f>IF($A175="","",SUMIF('4. STOCK OUT'!$B:$B,$A175,'4. STOCK OUT'!$E:$E))</f>
        <v>0</v>
      </c>
      <c r="F175" s="3">
        <f t="shared" si="2"/>
        <v>12</v>
      </c>
      <c r="G175" t="str">
        <f>IF($A175="","",IFERROR(IF($F175&lt;=0,"OUT OF STOCK",IF($F175&lt;=VLOOKUP($A175,'2. ITEM MASTER'!$A:$D,4,FALSE),"LOW STOCK","OK")),""))</f>
        <v>OK</v>
      </c>
    </row>
    <row r="176" spans="1:7" x14ac:dyDescent="0.35">
      <c r="A176" t="str">
        <f>IF('2. ITEM MASTER'!A176="","",'2. ITEM MASTER'!A176)</f>
        <v>P-040</v>
      </c>
      <c r="B176" t="str">
        <f>IFERROR(VLOOKUP($A176,'2. ITEM MASTER'!$A:$D,2,FALSE),"")</f>
        <v>WATER TANK 400</v>
      </c>
      <c r="C176" t="str">
        <f>IFERROR(VLOOKUP($A176,'2. ITEM MASTER'!$A:$D,3,FALSE),"")</f>
        <v>Plumbing</v>
      </c>
      <c r="D176" s="3">
        <f>IF($A176="","",SUMIF('3. STOCK IN'!$B:$B,$A176,'3. STOCK IN'!$E:$E))</f>
        <v>3</v>
      </c>
      <c r="E176" s="3">
        <f>IF($A176="","",SUMIF('4. STOCK OUT'!$B:$B,$A176,'4. STOCK OUT'!$E:$E))</f>
        <v>0</v>
      </c>
      <c r="F176" s="3">
        <f t="shared" si="2"/>
        <v>3</v>
      </c>
      <c r="G176" t="str">
        <f>IF($A176="","",IFERROR(IF($F176&lt;=0,"OUT OF STOCK",IF($F176&lt;=VLOOKUP($A176,'2. ITEM MASTER'!$A:$D,4,FALSE),"LOW STOCK","OK")),""))</f>
        <v>LOW STOCK</v>
      </c>
    </row>
    <row r="177" spans="1:7" x14ac:dyDescent="0.35">
      <c r="A177" t="str">
        <f>IF('2. ITEM MASTER'!A177="","",'2. ITEM MASTER'!A177)</f>
        <v>P-041</v>
      </c>
      <c r="B177" t="str">
        <f>IFERROR(VLOOKUP($A177,'2. ITEM MASTER'!$A:$D,2,FALSE),"")</f>
        <v>SPRINKLER NOZZLE</v>
      </c>
      <c r="C177" t="str">
        <f>IFERROR(VLOOKUP($A177,'2. ITEM MASTER'!$A:$D,3,FALSE),"")</f>
        <v>Plumbing</v>
      </c>
      <c r="D177" s="3">
        <f>IF($A177="","",SUMIF('3. STOCK IN'!$B:$B,$A177,'3. STOCK IN'!$E:$E))</f>
        <v>0</v>
      </c>
      <c r="E177" s="3">
        <f>IF($A177="","",SUMIF('4. STOCK OUT'!$B:$B,$A177,'4. STOCK OUT'!$E:$E))</f>
        <v>0</v>
      </c>
      <c r="F177" s="3">
        <f t="shared" si="2"/>
        <v>0</v>
      </c>
      <c r="G177" t="str">
        <f>IF($A177="","",IFERROR(IF($F177&lt;=0,"OUT OF STOCK",IF($F177&lt;=VLOOKUP($A177,'2. ITEM MASTER'!$A:$D,4,FALSE),"LOW STOCK","OK")),""))</f>
        <v>OUT OF STOCK</v>
      </c>
    </row>
    <row r="178" spans="1:7" x14ac:dyDescent="0.35">
      <c r="A178" t="str">
        <f>IF('2. ITEM MASTER'!A178="","",'2. ITEM MASTER'!A178)</f>
        <v>P-042</v>
      </c>
      <c r="B178" t="str">
        <f>IFERROR(VLOOKUP($A178,'2. ITEM MASTER'!$A:$D,2,FALSE),"")</f>
        <v>EYE BOLT</v>
      </c>
      <c r="C178" t="str">
        <f>IFERROR(VLOOKUP($A178,'2. ITEM MASTER'!$A:$D,3,FALSE),"")</f>
        <v>Plumbing</v>
      </c>
      <c r="D178" s="3">
        <f>IF($A178="","",SUMIF('3. STOCK IN'!$B:$B,$A178,'3. STOCK IN'!$E:$E))</f>
        <v>0</v>
      </c>
      <c r="E178" s="3">
        <f>IF($A178="","",SUMIF('4. STOCK OUT'!$B:$B,$A178,'4. STOCK OUT'!$E:$E))</f>
        <v>0</v>
      </c>
      <c r="F178" s="3">
        <f t="shared" si="2"/>
        <v>0</v>
      </c>
      <c r="G178" t="str">
        <f>IF($A178="","",IFERROR(IF($F178&lt;=0,"OUT OF STOCK",IF($F178&lt;=VLOOKUP($A178,'2. ITEM MASTER'!$A:$D,4,FALSE),"LOW STOCK","OK")),""))</f>
        <v>OUT OF STOCK</v>
      </c>
    </row>
    <row r="179" spans="1:7" x14ac:dyDescent="0.35">
      <c r="A179" t="str">
        <f>IF('2. ITEM MASTER'!A179="","",'2. ITEM MASTER'!A179)</f>
        <v>P-043</v>
      </c>
      <c r="B179" t="str">
        <f>IFERROR(VLOOKUP($A179,'2. ITEM MASTER'!$A:$D,2,FALSE),"")</f>
        <v>UPVC 2X1 TEE</v>
      </c>
      <c r="C179" t="str">
        <f>IFERROR(VLOOKUP($A179,'2. ITEM MASTER'!$A:$D,3,FALSE),"")</f>
        <v>Plumbing</v>
      </c>
      <c r="D179" s="3">
        <f>IF($A179="","",SUMIF('3. STOCK IN'!$B:$B,$A179,'3. STOCK IN'!$E:$E))</f>
        <v>0</v>
      </c>
      <c r="E179" s="3">
        <f>IF($A179="","",SUMIF('4. STOCK OUT'!$B:$B,$A179,'4. STOCK OUT'!$E:$E))</f>
        <v>0</v>
      </c>
      <c r="F179" s="3">
        <f t="shared" si="2"/>
        <v>0</v>
      </c>
      <c r="G179" t="str">
        <f>IF($A179="","",IFERROR(IF($F179&lt;=0,"OUT OF STOCK",IF($F179&lt;=VLOOKUP($A179,'2. ITEM MASTER'!$A:$D,4,FALSE),"LOW STOCK","OK")),""))</f>
        <v>OUT OF STOCK</v>
      </c>
    </row>
    <row r="180" spans="1:7" x14ac:dyDescent="0.35">
      <c r="A180" t="str">
        <f>IF('2. ITEM MASTER'!A180="","",'2. ITEM MASTER'!A180)</f>
        <v>P-044</v>
      </c>
      <c r="B180" t="str">
        <f>IFERROR(VLOOKUP($A180,'2. ITEM MASTER'!$A:$D,2,FALSE),"")</f>
        <v>BASIN WATE COUPLER FLAT</v>
      </c>
      <c r="C180" t="str">
        <f>IFERROR(VLOOKUP($A180,'2. ITEM MASTER'!$A:$D,3,FALSE),"")</f>
        <v>Plumbing</v>
      </c>
      <c r="D180" s="3">
        <f>IF($A180="","",SUMIF('3. STOCK IN'!$B:$B,$A180,'3. STOCK IN'!$E:$E))</f>
        <v>0</v>
      </c>
      <c r="E180" s="3">
        <f>IF($A180="","",SUMIF('4. STOCK OUT'!$B:$B,$A180,'4. STOCK OUT'!$E:$E))</f>
        <v>0</v>
      </c>
      <c r="F180" s="3">
        <f t="shared" si="2"/>
        <v>0</v>
      </c>
      <c r="G180" t="str">
        <f>IF($A180="","",IFERROR(IF($F180&lt;=0,"OUT OF STOCK",IF($F180&lt;=VLOOKUP($A180,'2. ITEM MASTER'!$A:$D,4,FALSE),"LOW STOCK","OK")),""))</f>
        <v>OUT OF STOCK</v>
      </c>
    </row>
    <row r="181" spans="1:7" x14ac:dyDescent="0.35">
      <c r="A181" t="str">
        <f>IF('2. ITEM MASTER'!A181="","",'2. ITEM MASTER'!A181)</f>
        <v>P-045</v>
      </c>
      <c r="B181" t="str">
        <f>IFERROR(VLOOKUP($A181,'2. ITEM MASTER'!$A:$D,2,FALSE),"")</f>
        <v>SS HEX NIPPEL 0.5</v>
      </c>
      <c r="C181" t="str">
        <f>IFERROR(VLOOKUP($A181,'2. ITEM MASTER'!$A:$D,3,FALSE),"")</f>
        <v>Plumbing</v>
      </c>
      <c r="D181" s="3">
        <f>IF($A181="","",SUMIF('3. STOCK IN'!$B:$B,$A181,'3. STOCK IN'!$E:$E))</f>
        <v>0</v>
      </c>
      <c r="E181" s="3">
        <f>IF($A181="","",SUMIF('4. STOCK OUT'!$B:$B,$A181,'4. STOCK OUT'!$E:$E))</f>
        <v>0</v>
      </c>
      <c r="F181" s="3">
        <f t="shared" si="2"/>
        <v>0</v>
      </c>
      <c r="G181" t="str">
        <f>IF($A181="","",IFERROR(IF($F181&lt;=0,"OUT OF STOCK",IF($F181&lt;=VLOOKUP($A181,'2. ITEM MASTER'!$A:$D,4,FALSE),"LOW STOCK","OK")),""))</f>
        <v>OUT OF STOCK</v>
      </c>
    </row>
    <row r="182" spans="1:7" x14ac:dyDescent="0.35">
      <c r="A182" t="str">
        <f>IF('2. ITEM MASTER'!A182="","",'2. ITEM MASTER'!A182)</f>
        <v>P-046</v>
      </c>
      <c r="B182" t="str">
        <f>IFERROR(VLOOKUP($A182,'2. ITEM MASTER'!$A:$D,2,FALSE),"")</f>
        <v>TANK BALL COCK 0.5</v>
      </c>
      <c r="C182" t="str">
        <f>IFERROR(VLOOKUP($A182,'2. ITEM MASTER'!$A:$D,3,FALSE),"")</f>
        <v>Plumbing</v>
      </c>
      <c r="D182" s="3">
        <f>IF($A182="","",SUMIF('3. STOCK IN'!$B:$B,$A182,'3. STOCK IN'!$E:$E))</f>
        <v>0</v>
      </c>
      <c r="E182" s="3">
        <f>IF($A182="","",SUMIF('4. STOCK OUT'!$B:$B,$A182,'4. STOCK OUT'!$E:$E))</f>
        <v>0</v>
      </c>
      <c r="F182" s="3">
        <f t="shared" si="2"/>
        <v>0</v>
      </c>
      <c r="G182" t="str">
        <f>IF($A182="","",IFERROR(IF($F182&lt;=0,"OUT OF STOCK",IF($F182&lt;=VLOOKUP($A182,'2. ITEM MASTER'!$A:$D,4,FALSE),"LOW STOCK","OK")),""))</f>
        <v>OUT OF STOCK</v>
      </c>
    </row>
    <row r="183" spans="1:7" x14ac:dyDescent="0.35">
      <c r="A183" t="str">
        <f>IF('2. ITEM MASTER'!A183="","",'2. ITEM MASTER'!A183)</f>
        <v>P-047</v>
      </c>
      <c r="B183" t="str">
        <f>IFERROR(VLOOKUP($A183,'2. ITEM MASTER'!$A:$D,2,FALSE),"")</f>
        <v>TANK BALL</v>
      </c>
      <c r="C183" t="str">
        <f>IFERROR(VLOOKUP($A183,'2. ITEM MASTER'!$A:$D,3,FALSE),"")</f>
        <v>Plumbing</v>
      </c>
      <c r="D183" s="3">
        <f>IF($A183="","",SUMIF('3. STOCK IN'!$B:$B,$A183,'3. STOCK IN'!$E:$E))</f>
        <v>0</v>
      </c>
      <c r="E183" s="3">
        <f>IF($A183="","",SUMIF('4. STOCK OUT'!$B:$B,$A183,'4. STOCK OUT'!$E:$E))</f>
        <v>0</v>
      </c>
      <c r="F183" s="3">
        <f t="shared" si="2"/>
        <v>0</v>
      </c>
      <c r="G183" t="str">
        <f>IF($A183="","",IFERROR(IF($F183&lt;=0,"OUT OF STOCK",IF($F183&lt;=VLOOKUP($A183,'2. ITEM MASTER'!$A:$D,4,FALSE),"LOW STOCK","OK")),""))</f>
        <v>OUT OF STOCK</v>
      </c>
    </row>
    <row r="184" spans="1:7" x14ac:dyDescent="0.35">
      <c r="A184" t="str">
        <f>IF('2. ITEM MASTER'!A184="","",'2. ITEM MASTER'!A184)</f>
        <v>P-048</v>
      </c>
      <c r="B184" t="str">
        <f>IFERROR(VLOOKUP($A184,'2. ITEM MASTER'!$A:$D,2,FALSE),"")</f>
        <v>PVC PIPE 4 INCH</v>
      </c>
      <c r="C184" t="str">
        <f>IFERROR(VLOOKUP($A184,'2. ITEM MASTER'!$A:$D,3,FALSE),"")</f>
        <v>Plumbing</v>
      </c>
      <c r="D184" s="3">
        <f>IF($A184="","",SUMIF('3. STOCK IN'!$B:$B,$A184,'3. STOCK IN'!$E:$E))</f>
        <v>0</v>
      </c>
      <c r="E184" s="3">
        <f>IF($A184="","",SUMIF('4. STOCK OUT'!$B:$B,$A184,'4. STOCK OUT'!$E:$E))</f>
        <v>0</v>
      </c>
      <c r="F184" s="3">
        <f t="shared" si="2"/>
        <v>0</v>
      </c>
      <c r="G184" t="str">
        <f>IF($A184="","",IFERROR(IF($F184&lt;=0,"OUT OF STOCK",IF($F184&lt;=VLOOKUP($A184,'2. ITEM MASTER'!$A:$D,4,FALSE),"LOW STOCK","OK")),""))</f>
        <v>OUT OF STOCK</v>
      </c>
    </row>
    <row r="185" spans="1:7" x14ac:dyDescent="0.35">
      <c r="A185" t="str">
        <f>IF('2. ITEM MASTER'!A185="","",'2. ITEM MASTER'!A185)</f>
        <v>P-049</v>
      </c>
      <c r="B185" t="str">
        <f>IFERROR(VLOOKUP($A185,'2. ITEM MASTER'!$A:$D,2,FALSE),"")</f>
        <v>PVC 4 INCH ELBOW</v>
      </c>
      <c r="C185" t="str">
        <f>IFERROR(VLOOKUP($A185,'2. ITEM MASTER'!$A:$D,3,FALSE),"")</f>
        <v>Plumbing</v>
      </c>
      <c r="D185" s="3">
        <f>IF($A185="","",SUMIF('3. STOCK IN'!$B:$B,$A185,'3. STOCK IN'!$E:$E))</f>
        <v>0</v>
      </c>
      <c r="E185" s="3">
        <f>IF($A185="","",SUMIF('4. STOCK OUT'!$B:$B,$A185,'4. STOCK OUT'!$E:$E))</f>
        <v>0</v>
      </c>
      <c r="F185" s="3">
        <f t="shared" si="2"/>
        <v>0</v>
      </c>
      <c r="G185" t="str">
        <f>IF($A185="","",IFERROR(IF($F185&lt;=0,"OUT OF STOCK",IF($F185&lt;=VLOOKUP($A185,'2. ITEM MASTER'!$A:$D,4,FALSE),"LOW STOCK","OK")),""))</f>
        <v>OUT OF STOCK</v>
      </c>
    </row>
    <row r="186" spans="1:7" x14ac:dyDescent="0.35">
      <c r="A186" t="str">
        <f>IF('2. ITEM MASTER'!A186="","",'2. ITEM MASTER'!A186)</f>
        <v>P-050</v>
      </c>
      <c r="B186" t="str">
        <f>IFERROR(VLOOKUP($A186,'2. ITEM MASTER'!$A:$D,2,FALSE),"")</f>
        <v>PVC 4 INCH COPPLER</v>
      </c>
      <c r="C186" t="str">
        <f>IFERROR(VLOOKUP($A186,'2. ITEM MASTER'!$A:$D,3,FALSE),"")</f>
        <v>Plumbing</v>
      </c>
      <c r="D186" s="3">
        <f>IF($A186="","",SUMIF('3. STOCK IN'!$B:$B,$A186,'3. STOCK IN'!$E:$E))</f>
        <v>0</v>
      </c>
      <c r="E186" s="3">
        <f>IF($A186="","",SUMIF('4. STOCK OUT'!$B:$B,$A186,'4. STOCK OUT'!$E:$E))</f>
        <v>0</v>
      </c>
      <c r="F186" s="3">
        <f t="shared" si="2"/>
        <v>0</v>
      </c>
      <c r="G186" t="str">
        <f>IF($A186="","",IFERROR(IF($F186&lt;=0,"OUT OF STOCK",IF($F186&lt;=VLOOKUP($A186,'2. ITEM MASTER'!$A:$D,4,FALSE),"LOW STOCK","OK")),""))</f>
        <v>OUT OF STOCK</v>
      </c>
    </row>
    <row r="187" spans="1:7" x14ac:dyDescent="0.35">
      <c r="A187" t="str">
        <f>IF('2. ITEM MASTER'!A187="","",'2. ITEM MASTER'!A187)</f>
        <v>P-051</v>
      </c>
      <c r="B187" t="str">
        <f>IFERROR(VLOOKUP($A187,'2. ITEM MASTER'!$A:$D,2,FALSE),"")</f>
        <v>PVC 40MM PIPE</v>
      </c>
      <c r="C187" t="str">
        <f>IFERROR(VLOOKUP($A187,'2. ITEM MASTER'!$A:$D,3,FALSE),"")</f>
        <v>Plumbing</v>
      </c>
      <c r="D187" s="3">
        <f>IF($A187="","",SUMIF('3. STOCK IN'!$B:$B,$A187,'3. STOCK IN'!$E:$E))</f>
        <v>0</v>
      </c>
      <c r="E187" s="3">
        <f>IF($A187="","",SUMIF('4. STOCK OUT'!$B:$B,$A187,'4. STOCK OUT'!$E:$E))</f>
        <v>0</v>
      </c>
      <c r="F187" s="3">
        <f t="shared" si="2"/>
        <v>0</v>
      </c>
      <c r="G187" t="str">
        <f>IF($A187="","",IFERROR(IF($F187&lt;=0,"OUT OF STOCK",IF($F187&lt;=VLOOKUP($A187,'2. ITEM MASTER'!$A:$D,4,FALSE),"LOW STOCK","OK")),""))</f>
        <v>OUT OF STOCK</v>
      </c>
    </row>
    <row r="188" spans="1:7" x14ac:dyDescent="0.35">
      <c r="A188" t="str">
        <f>IF('2. ITEM MASTER'!A188="","",'2. ITEM MASTER'!A188)</f>
        <v>P-052</v>
      </c>
      <c r="B188" t="str">
        <f>IFERROR(VLOOKUP($A188,'2. ITEM MASTER'!$A:$D,2,FALSE),"")</f>
        <v>PVC 40 MM ELBOW</v>
      </c>
      <c r="C188" t="str">
        <f>IFERROR(VLOOKUP($A188,'2. ITEM MASTER'!$A:$D,3,FALSE),"")</f>
        <v>Plumbing</v>
      </c>
      <c r="D188" s="3">
        <f>IF($A188="","",SUMIF('3. STOCK IN'!$B:$B,$A188,'3. STOCK IN'!$E:$E))</f>
        <v>0</v>
      </c>
      <c r="E188" s="3">
        <f>IF($A188="","",SUMIF('4. STOCK OUT'!$B:$B,$A188,'4. STOCK OUT'!$E:$E))</f>
        <v>0</v>
      </c>
      <c r="F188" s="3">
        <f t="shared" si="2"/>
        <v>0</v>
      </c>
      <c r="G188" t="str">
        <f>IF($A188="","",IFERROR(IF($F188&lt;=0,"OUT OF STOCK",IF($F188&lt;=VLOOKUP($A188,'2. ITEM MASTER'!$A:$D,4,FALSE),"LOW STOCK","OK")),""))</f>
        <v>OUT OF STOCK</v>
      </c>
    </row>
    <row r="189" spans="1:7" x14ac:dyDescent="0.35">
      <c r="A189" t="str">
        <f>IF('2. ITEM MASTER'!A189="","",'2. ITEM MASTER'!A189)</f>
        <v>P-053</v>
      </c>
      <c r="B189" t="str">
        <f>IFERROR(VLOOKUP($A189,'2. ITEM MASTER'!$A:$D,2,FALSE),"")</f>
        <v>PVC 40 MM TEE</v>
      </c>
      <c r="C189" t="str">
        <f>IFERROR(VLOOKUP($A189,'2. ITEM MASTER'!$A:$D,3,FALSE),"")</f>
        <v>Plumbing</v>
      </c>
      <c r="D189" s="3">
        <f>IF($A189="","",SUMIF('3. STOCK IN'!$B:$B,$A189,'3. STOCK IN'!$E:$E))</f>
        <v>0</v>
      </c>
      <c r="E189" s="3">
        <f>IF($A189="","",SUMIF('4. STOCK OUT'!$B:$B,$A189,'4. STOCK OUT'!$E:$E))</f>
        <v>0</v>
      </c>
      <c r="F189" s="3">
        <f t="shared" si="2"/>
        <v>0</v>
      </c>
      <c r="G189" t="str">
        <f>IF($A189="","",IFERROR(IF($F189&lt;=0,"OUT OF STOCK",IF($F189&lt;=VLOOKUP($A189,'2. ITEM MASTER'!$A:$D,4,FALSE),"LOW STOCK","OK")),""))</f>
        <v>OUT OF STOCK</v>
      </c>
    </row>
    <row r="190" spans="1:7" x14ac:dyDescent="0.35">
      <c r="A190" t="str">
        <f>IF('2. ITEM MASTER'!A190="","",'2. ITEM MASTER'!A190)</f>
        <v>P-054</v>
      </c>
      <c r="B190" t="str">
        <f>IFERROR(VLOOKUP($A190,'2. ITEM MASTER'!$A:$D,2,FALSE),"")</f>
        <v>SS WATTI</v>
      </c>
      <c r="C190" t="str">
        <f>IFERROR(VLOOKUP($A190,'2. ITEM MASTER'!$A:$D,3,FALSE),"")</f>
        <v>Plumbing</v>
      </c>
      <c r="D190" s="3">
        <f>IF($A190="","",SUMIF('3. STOCK IN'!$B:$B,$A190,'3. STOCK IN'!$E:$E))</f>
        <v>0</v>
      </c>
      <c r="E190" s="3">
        <f>IF($A190="","",SUMIF('4. STOCK OUT'!$B:$B,$A190,'4. STOCK OUT'!$E:$E))</f>
        <v>0</v>
      </c>
      <c r="F190" s="3">
        <f t="shared" si="2"/>
        <v>0</v>
      </c>
      <c r="G190" t="str">
        <f>IF($A190="","",IFERROR(IF($F190&lt;=0,"OUT OF STOCK",IF($F190&lt;=VLOOKUP($A190,'2. ITEM MASTER'!$A:$D,4,FALSE),"LOW STOCK","OK")),""))</f>
        <v>OUT OF STOCK</v>
      </c>
    </row>
    <row r="191" spans="1:7" x14ac:dyDescent="0.35">
      <c r="A191" t="str">
        <f>IF('2. ITEM MASTER'!A191="","",'2. ITEM MASTER'!A191)</f>
        <v>P-055</v>
      </c>
      <c r="B191" t="str">
        <f>IFERROR(VLOOKUP($A191,'2. ITEM MASTER'!$A:$D,2,FALSE),"")</f>
        <v>SS HOOKE PANEL</v>
      </c>
      <c r="C191" t="str">
        <f>IFERROR(VLOOKUP($A191,'2. ITEM MASTER'!$A:$D,3,FALSE),"")</f>
        <v>Plumbing</v>
      </c>
      <c r="D191" s="3">
        <f>IF($A191="","",SUMIF('3. STOCK IN'!$B:$B,$A191,'3. STOCK IN'!$E:$E))</f>
        <v>60</v>
      </c>
      <c r="E191" s="3">
        <f>IF($A191="","",SUMIF('4. STOCK OUT'!$B:$B,$A191,'4. STOCK OUT'!$E:$E))</f>
        <v>0</v>
      </c>
      <c r="F191" s="3">
        <f t="shared" si="2"/>
        <v>60</v>
      </c>
      <c r="G191" t="str">
        <f>IF($A191="","",IFERROR(IF($F191&lt;=0,"OUT OF STOCK",IF($F191&lt;=VLOOKUP($A191,'2. ITEM MASTER'!$A:$D,4,FALSE),"LOW STOCK","OK")),""))</f>
        <v>OK</v>
      </c>
    </row>
    <row r="192" spans="1:7" x14ac:dyDescent="0.35">
      <c r="A192" t="str">
        <f>IF('2. ITEM MASTER'!A192="","",'2. ITEM MASTER'!A192)</f>
        <v>P-056</v>
      </c>
      <c r="B192" t="str">
        <f>IFERROR(VLOOKUP($A192,'2. ITEM MASTER'!$A:$D,2,FALSE),"")</f>
        <v>ENGLISH TOLIAT TOP COVER</v>
      </c>
      <c r="C192" t="str">
        <f>IFERROR(VLOOKUP($A192,'2. ITEM MASTER'!$A:$D,3,FALSE),"")</f>
        <v>Plumbing</v>
      </c>
      <c r="D192" s="3">
        <f>IF($A192="","",SUMIF('3. STOCK IN'!$B:$B,$A192,'3. STOCK IN'!$E:$E))</f>
        <v>5</v>
      </c>
      <c r="E192" s="3">
        <f>IF($A192="","",SUMIF('4. STOCK OUT'!$B:$B,$A192,'4. STOCK OUT'!$E:$E))</f>
        <v>0</v>
      </c>
      <c r="F192" s="3">
        <f t="shared" si="2"/>
        <v>5</v>
      </c>
      <c r="G192" t="str">
        <f>IF($A192="","",IFERROR(IF($F192&lt;=0,"OUT OF STOCK",IF($F192&lt;=VLOOKUP($A192,'2. ITEM MASTER'!$A:$D,4,FALSE),"LOW STOCK","OK")),""))</f>
        <v>LOW STOCK</v>
      </c>
    </row>
    <row r="193" spans="1:7" x14ac:dyDescent="0.35">
      <c r="A193" t="str">
        <f>IF('2. ITEM MASTER'!A193="","",'2. ITEM MASTER'!A193)</f>
        <v>P-057</v>
      </c>
      <c r="B193" t="str">
        <f>IFERROR(VLOOKUP($A193,'2. ITEM MASTER'!$A:$D,2,FALSE),"")</f>
        <v>ENGLISH KOMDA 4</v>
      </c>
      <c r="C193" t="str">
        <f>IFERROR(VLOOKUP($A193,'2. ITEM MASTER'!$A:$D,3,FALSE),"")</f>
        <v>Plumbing</v>
      </c>
      <c r="D193" s="3">
        <f>IF($A193="","",SUMIF('3. STOCK IN'!$B:$B,$A193,'3. STOCK IN'!$E:$E))</f>
        <v>0</v>
      </c>
      <c r="E193" s="3">
        <f>IF($A193="","",SUMIF('4. STOCK OUT'!$B:$B,$A193,'4. STOCK OUT'!$E:$E))</f>
        <v>0</v>
      </c>
      <c r="F193" s="3">
        <f t="shared" si="2"/>
        <v>0</v>
      </c>
      <c r="G193" t="str">
        <f>IF($A193="","",IFERROR(IF($F193&lt;=0,"OUT OF STOCK",IF($F193&lt;=VLOOKUP($A193,'2. ITEM MASTER'!$A:$D,4,FALSE),"LOW STOCK","OK")),""))</f>
        <v>OUT OF STOCK</v>
      </c>
    </row>
    <row r="194" spans="1:7" x14ac:dyDescent="0.35">
      <c r="A194" t="str">
        <f>IF('2. ITEM MASTER'!A194="","",'2. ITEM MASTER'!A194)</f>
        <v>P-058</v>
      </c>
      <c r="B194" t="str">
        <f>IFERROR(VLOOKUP($A194,'2. ITEM MASTER'!$A:$D,2,FALSE),"")</f>
        <v>PVC CAPLING 4</v>
      </c>
      <c r="C194" t="str">
        <f>IFERROR(VLOOKUP($A194,'2. ITEM MASTER'!$A:$D,3,FALSE),"")</f>
        <v>Plumbing</v>
      </c>
      <c r="D194" s="3">
        <f>IF($A194="","",SUMIF('3. STOCK IN'!$B:$B,$A194,'3. STOCK IN'!$E:$E))</f>
        <v>0</v>
      </c>
      <c r="E194" s="3">
        <f>IF($A194="","",SUMIF('4. STOCK OUT'!$B:$B,$A194,'4. STOCK OUT'!$E:$E))</f>
        <v>0</v>
      </c>
      <c r="F194" s="3">
        <f t="shared" ref="F194:F257" si="3">IF($A194="","",IFERROR($D194-$E194,0))</f>
        <v>0</v>
      </c>
      <c r="G194" t="str">
        <f>IF($A194="","",IFERROR(IF($F194&lt;=0,"OUT OF STOCK",IF($F194&lt;=VLOOKUP($A194,'2. ITEM MASTER'!$A:$D,4,FALSE),"LOW STOCK","OK")),""))</f>
        <v>OUT OF STOCK</v>
      </c>
    </row>
    <row r="195" spans="1:7" x14ac:dyDescent="0.35">
      <c r="A195" t="str">
        <f>IF('2. ITEM MASTER'!A195="","",'2. ITEM MASTER'!A195)</f>
        <v>P-059</v>
      </c>
      <c r="B195" t="str">
        <f>IFERROR(VLOOKUP($A195,'2. ITEM MASTER'!$A:$D,2,FALSE),"")</f>
        <v>PVC CPLING 2</v>
      </c>
      <c r="C195" t="str">
        <f>IFERROR(VLOOKUP($A195,'2. ITEM MASTER'!$A:$D,3,FALSE),"")</f>
        <v>Plumbing</v>
      </c>
      <c r="D195" s="3">
        <f>IF($A195="","",SUMIF('3. STOCK IN'!$B:$B,$A195,'3. STOCK IN'!$E:$E))</f>
        <v>0</v>
      </c>
      <c r="E195" s="3">
        <f>IF($A195="","",SUMIF('4. STOCK OUT'!$B:$B,$A195,'4. STOCK OUT'!$E:$E))</f>
        <v>0</v>
      </c>
      <c r="F195" s="3">
        <f t="shared" si="3"/>
        <v>0</v>
      </c>
      <c r="G195" t="str">
        <f>IF($A195="","",IFERROR(IF($F195&lt;=0,"OUT OF STOCK",IF($F195&lt;=VLOOKUP($A195,'2. ITEM MASTER'!$A:$D,4,FALSE),"LOW STOCK","OK")),""))</f>
        <v>OUT OF STOCK</v>
      </c>
    </row>
    <row r="196" spans="1:7" x14ac:dyDescent="0.35">
      <c r="A196" t="str">
        <f>IF('2. ITEM MASTER'!A196="","",'2. ITEM MASTER'!A196)</f>
        <v>P-060</v>
      </c>
      <c r="B196" t="str">
        <f>IFERROR(VLOOKUP($A196,'2. ITEM MASTER'!$A:$D,2,FALSE),"")</f>
        <v>PVC CAP 4</v>
      </c>
      <c r="C196" t="str">
        <f>IFERROR(VLOOKUP($A196,'2. ITEM MASTER'!$A:$D,3,FALSE),"")</f>
        <v>Plumbing</v>
      </c>
      <c r="D196" s="3">
        <f>IF($A196="","",SUMIF('3. STOCK IN'!$B:$B,$A196,'3. STOCK IN'!$E:$E))</f>
        <v>0</v>
      </c>
      <c r="E196" s="3">
        <f>IF($A196="","",SUMIF('4. STOCK OUT'!$B:$B,$A196,'4. STOCK OUT'!$E:$E))</f>
        <v>0</v>
      </c>
      <c r="F196" s="3">
        <f t="shared" si="3"/>
        <v>0</v>
      </c>
      <c r="G196" t="str">
        <f>IF($A196="","",IFERROR(IF($F196&lt;=0,"OUT OF STOCK",IF($F196&lt;=VLOOKUP($A196,'2. ITEM MASTER'!$A:$D,4,FALSE),"LOW STOCK","OK")),""))</f>
        <v>OUT OF STOCK</v>
      </c>
    </row>
    <row r="197" spans="1:7" x14ac:dyDescent="0.35">
      <c r="A197" t="str">
        <f>IF('2. ITEM MASTER'!A197="","",'2. ITEM MASTER'!A197)</f>
        <v>P-061</v>
      </c>
      <c r="B197" t="str">
        <f>IFERROR(VLOOKUP($A197,'2. ITEM MASTER'!$A:$D,2,FALSE),"")</f>
        <v>PVC REDUCER 2X 40 MM</v>
      </c>
      <c r="C197" t="str">
        <f>IFERROR(VLOOKUP($A197,'2. ITEM MASTER'!$A:$D,3,FALSE),"")</f>
        <v>Plumbing</v>
      </c>
      <c r="D197" s="3">
        <f>IF($A197="","",SUMIF('3. STOCK IN'!$B:$B,$A197,'3. STOCK IN'!$E:$E))</f>
        <v>0</v>
      </c>
      <c r="E197" s="3">
        <f>IF($A197="","",SUMIF('4. STOCK OUT'!$B:$B,$A197,'4. STOCK OUT'!$E:$E))</f>
        <v>0</v>
      </c>
      <c r="F197" s="3">
        <f t="shared" si="3"/>
        <v>0</v>
      </c>
      <c r="G197" t="str">
        <f>IF($A197="","",IFERROR(IF($F197&lt;=0,"OUT OF STOCK",IF($F197&lt;=VLOOKUP($A197,'2. ITEM MASTER'!$A:$D,4,FALSE),"LOW STOCK","OK")),""))</f>
        <v>OUT OF STOCK</v>
      </c>
    </row>
    <row r="198" spans="1:7" x14ac:dyDescent="0.35">
      <c r="A198" t="str">
        <f>IF('2. ITEM MASTER'!A198="","",'2. ITEM MASTER'!A198)</f>
        <v>P-062</v>
      </c>
      <c r="B198" t="str">
        <f>IFERROR(VLOOKUP($A198,'2. ITEM MASTER'!$A:$D,2,FALSE),"")</f>
        <v>PVC CAPLING 40 FT</v>
      </c>
      <c r="C198" t="str">
        <f>IFERROR(VLOOKUP($A198,'2. ITEM MASTER'!$A:$D,3,FALSE),"")</f>
        <v>Plumbing</v>
      </c>
      <c r="D198" s="3">
        <f>IF($A198="","",SUMIF('3. STOCK IN'!$B:$B,$A198,'3. STOCK IN'!$E:$E))</f>
        <v>0</v>
      </c>
      <c r="E198" s="3">
        <f>IF($A198="","",SUMIF('4. STOCK OUT'!$B:$B,$A198,'4. STOCK OUT'!$E:$E))</f>
        <v>0</v>
      </c>
      <c r="F198" s="3">
        <f t="shared" si="3"/>
        <v>0</v>
      </c>
      <c r="G198" t="str">
        <f>IF($A198="","",IFERROR(IF($F198&lt;=0,"OUT OF STOCK",IF($F198&lt;=VLOOKUP($A198,'2. ITEM MASTER'!$A:$D,4,FALSE),"LOW STOCK","OK")),""))</f>
        <v>OUT OF STOCK</v>
      </c>
    </row>
    <row r="199" spans="1:7" x14ac:dyDescent="0.35">
      <c r="A199" t="str">
        <f>IF('2. ITEM MASTER'!A199="","",'2. ITEM MASTER'!A199)</f>
        <v>P-063</v>
      </c>
      <c r="B199" t="str">
        <f>IFERROR(VLOOKUP($A199,'2. ITEM MASTER'!$A:$D,2,FALSE),"")</f>
        <v>PVC TEE 4</v>
      </c>
      <c r="C199" t="str">
        <f>IFERROR(VLOOKUP($A199,'2. ITEM MASTER'!$A:$D,3,FALSE),"")</f>
        <v>Plumbing</v>
      </c>
      <c r="D199" s="3">
        <f>IF($A199="","",SUMIF('3. STOCK IN'!$B:$B,$A199,'3. STOCK IN'!$E:$E))</f>
        <v>0</v>
      </c>
      <c r="E199" s="3">
        <f>IF($A199="","",SUMIF('4. STOCK OUT'!$B:$B,$A199,'4. STOCK OUT'!$E:$E))</f>
        <v>0</v>
      </c>
      <c r="F199" s="3">
        <f t="shared" si="3"/>
        <v>0</v>
      </c>
      <c r="G199" t="str">
        <f>IF($A199="","",IFERROR(IF($F199&lt;=0,"OUT OF STOCK",IF($F199&lt;=VLOOKUP($A199,'2. ITEM MASTER'!$A:$D,4,FALSE),"LOW STOCK","OK")),""))</f>
        <v>OUT OF STOCK</v>
      </c>
    </row>
    <row r="200" spans="1:7" x14ac:dyDescent="0.35">
      <c r="A200" t="str">
        <f>IF('2. ITEM MASTER'!A200="","",'2. ITEM MASTER'!A200)</f>
        <v>P-064</v>
      </c>
      <c r="B200" t="str">
        <f>IFERROR(VLOOKUP($A200,'2. ITEM MASTER'!$A:$D,2,FALSE),"")</f>
        <v>PVC TEE 2</v>
      </c>
      <c r="C200" t="str">
        <f>IFERROR(VLOOKUP($A200,'2. ITEM MASTER'!$A:$D,3,FALSE),"")</f>
        <v>Plumbing</v>
      </c>
      <c r="D200" s="3">
        <f>IF($A200="","",SUMIF('3. STOCK IN'!$B:$B,$A200,'3. STOCK IN'!$E:$E))</f>
        <v>0</v>
      </c>
      <c r="E200" s="3">
        <f>IF($A200="","",SUMIF('4. STOCK OUT'!$B:$B,$A200,'4. STOCK OUT'!$E:$E))</f>
        <v>0</v>
      </c>
      <c r="F200" s="3">
        <f t="shared" si="3"/>
        <v>0</v>
      </c>
      <c r="G200" t="str">
        <f>IF($A200="","",IFERROR(IF($F200&lt;=0,"OUT OF STOCK",IF($F200&lt;=VLOOKUP($A200,'2. ITEM MASTER'!$A:$D,4,FALSE),"LOW STOCK","OK")),""))</f>
        <v>OUT OF STOCK</v>
      </c>
    </row>
    <row r="201" spans="1:7" x14ac:dyDescent="0.35">
      <c r="A201" t="str">
        <f>IF('2. ITEM MASTER'!A201="","",'2. ITEM MASTER'!A201)</f>
        <v>P-065</v>
      </c>
      <c r="B201" t="str">
        <f>IFERROR(VLOOKUP($A201,'2. ITEM MASTER'!$A:$D,2,FALSE),"")</f>
        <v>PVC 2 ELBOW</v>
      </c>
      <c r="C201" t="str">
        <f>IFERROR(VLOOKUP($A201,'2. ITEM MASTER'!$A:$D,3,FALSE),"")</f>
        <v>Plumbing</v>
      </c>
      <c r="D201" s="3">
        <f>IF($A201="","",SUMIF('3. STOCK IN'!$B:$B,$A201,'3. STOCK IN'!$E:$E))</f>
        <v>0</v>
      </c>
      <c r="E201" s="3">
        <f>IF($A201="","",SUMIF('4. STOCK OUT'!$B:$B,$A201,'4. STOCK OUT'!$E:$E))</f>
        <v>0</v>
      </c>
      <c r="F201" s="3">
        <f t="shared" si="3"/>
        <v>0</v>
      </c>
      <c r="G201" t="str">
        <f>IF($A201="","",IFERROR(IF($F201&lt;=0,"OUT OF STOCK",IF($F201&lt;=VLOOKUP($A201,'2. ITEM MASTER'!$A:$D,4,FALSE),"LOW STOCK","OK")),""))</f>
        <v>OUT OF STOCK</v>
      </c>
    </row>
    <row r="202" spans="1:7" x14ac:dyDescent="0.35">
      <c r="A202" t="str">
        <f>IF('2. ITEM MASTER'!A202="","",'2. ITEM MASTER'!A202)</f>
        <v>P-066</v>
      </c>
      <c r="B202" t="str">
        <f>IFERROR(VLOOKUP($A202,'2. ITEM MASTER'!$A:$D,2,FALSE),"")</f>
        <v>UPVC SOLVENT</v>
      </c>
      <c r="C202" t="str">
        <f>IFERROR(VLOOKUP($A202,'2. ITEM MASTER'!$A:$D,3,FALSE),"")</f>
        <v>Plumbing</v>
      </c>
      <c r="D202" s="3">
        <f>IF($A202="","",SUMIF('3. STOCK IN'!$B:$B,$A202,'3. STOCK IN'!$E:$E))</f>
        <v>0</v>
      </c>
      <c r="E202" s="3">
        <f>IF($A202="","",SUMIF('4. STOCK OUT'!$B:$B,$A202,'4. STOCK OUT'!$E:$E))</f>
        <v>0</v>
      </c>
      <c r="F202" s="3">
        <f t="shared" si="3"/>
        <v>0</v>
      </c>
      <c r="G202" t="str">
        <f>IF($A202="","",IFERROR(IF($F202&lt;=0,"OUT OF STOCK",IF($F202&lt;=VLOOKUP($A202,'2. ITEM MASTER'!$A:$D,4,FALSE),"LOW STOCK","OK")),""))</f>
        <v>OUT OF STOCK</v>
      </c>
    </row>
    <row r="203" spans="1:7" x14ac:dyDescent="0.35">
      <c r="A203" t="str">
        <f>IF('2. ITEM MASTER'!A203="","",'2. ITEM MASTER'!A203)</f>
        <v>P-067</v>
      </c>
      <c r="B203" t="str">
        <f>IFERROR(VLOOKUP($A203,'2. ITEM MASTER'!$A:$D,2,FALSE),"")</f>
        <v>PVC 45 TEE 4</v>
      </c>
      <c r="C203" t="str">
        <f>IFERROR(VLOOKUP($A203,'2. ITEM MASTER'!$A:$D,3,FALSE),"")</f>
        <v>Plumbing</v>
      </c>
      <c r="D203" s="3">
        <f>IF($A203="","",SUMIF('3. STOCK IN'!$B:$B,$A203,'3. STOCK IN'!$E:$E))</f>
        <v>0</v>
      </c>
      <c r="E203" s="3">
        <f>IF($A203="","",SUMIF('4. STOCK OUT'!$B:$B,$A203,'4. STOCK OUT'!$E:$E))</f>
        <v>0</v>
      </c>
      <c r="F203" s="3">
        <f t="shared" si="3"/>
        <v>0</v>
      </c>
      <c r="G203" t="str">
        <f>IF($A203="","",IFERROR(IF($F203&lt;=0,"OUT OF STOCK",IF($F203&lt;=VLOOKUP($A203,'2. ITEM MASTER'!$A:$D,4,FALSE),"LOW STOCK","OK")),""))</f>
        <v>OUT OF STOCK</v>
      </c>
    </row>
    <row r="204" spans="1:7" x14ac:dyDescent="0.35">
      <c r="A204" t="str">
        <f>IF('2. ITEM MASTER'!A204="","",'2. ITEM MASTER'!A204)</f>
        <v>P-068</v>
      </c>
      <c r="B204" t="str">
        <f>IFERROR(VLOOKUP($A204,'2. ITEM MASTER'!$A:$D,2,FALSE),"")</f>
        <v>SS ZALI ACP PANNEL 8X6</v>
      </c>
      <c r="C204" t="str">
        <f>IFERROR(VLOOKUP($A204,'2. ITEM MASTER'!$A:$D,3,FALSE),"")</f>
        <v>Plumbing</v>
      </c>
      <c r="D204" s="3">
        <f>IF($A204="","",SUMIF('3. STOCK IN'!$B:$B,$A204,'3. STOCK IN'!$E:$E))</f>
        <v>0</v>
      </c>
      <c r="E204" s="3">
        <f>IF($A204="","",SUMIF('4. STOCK OUT'!$B:$B,$A204,'4. STOCK OUT'!$E:$E))</f>
        <v>0</v>
      </c>
      <c r="F204" s="3">
        <f t="shared" si="3"/>
        <v>0</v>
      </c>
      <c r="G204" t="str">
        <f>IF($A204="","",IFERROR(IF($F204&lt;=0,"OUT OF STOCK",IF($F204&lt;=VLOOKUP($A204,'2. ITEM MASTER'!$A:$D,4,FALSE),"LOW STOCK","OK")),""))</f>
        <v>OUT OF STOCK</v>
      </c>
    </row>
    <row r="205" spans="1:7" x14ac:dyDescent="0.35">
      <c r="A205" t="str">
        <f>IF('2. ITEM MASTER'!A205="","",'2. ITEM MASTER'!A205)</f>
        <v>M-060</v>
      </c>
      <c r="B205" t="str">
        <f>IFERROR(VLOOKUP($A205,'2. ITEM MASTER'!$A:$D,2,FALSE),"")</f>
        <v>MS PIPE 20X20 1.2 MM</v>
      </c>
      <c r="C205" t="str">
        <f>IFERROR(VLOOKUP($A205,'2. ITEM MASTER'!$A:$D,3,FALSE),"")</f>
        <v>Mechanical</v>
      </c>
      <c r="D205" s="3">
        <f>IF($A205="","",SUMIF('3. STOCK IN'!$B:$B,$A205,'3. STOCK IN'!$E:$E))</f>
        <v>21</v>
      </c>
      <c r="E205" s="3">
        <f>IF($A205="","",SUMIF('4. STOCK OUT'!$B:$B,$A205,'4. STOCK OUT'!$E:$E))</f>
        <v>0</v>
      </c>
      <c r="F205" s="3">
        <f t="shared" si="3"/>
        <v>21</v>
      </c>
      <c r="G205" t="str">
        <f>IF($A205="","",IFERROR(IF($F205&lt;=0,"OUT OF STOCK",IF($F205&lt;=VLOOKUP($A205,'2. ITEM MASTER'!$A:$D,4,FALSE),"LOW STOCK","OK")),""))</f>
        <v>OK</v>
      </c>
    </row>
    <row r="206" spans="1:7" x14ac:dyDescent="0.35">
      <c r="A206" t="str">
        <f>IF('2. ITEM MASTER'!A206="","",'2. ITEM MASTER'!A206)</f>
        <v>M-061</v>
      </c>
      <c r="B206" t="str">
        <f>IFERROR(VLOOKUP($A206,'2. ITEM MASTER'!$A:$D,2,FALSE),"")</f>
        <v>SS CHEKERE PLAT 8X4 3000X1500</v>
      </c>
      <c r="C206" t="str">
        <f>IFERROR(VLOOKUP($A206,'2. ITEM MASTER'!$A:$D,3,FALSE),"")</f>
        <v>Mechanical</v>
      </c>
      <c r="D206" s="3">
        <f>IF($A206="","",SUMIF('3. STOCK IN'!$B:$B,$A206,'3. STOCK IN'!$E:$E))</f>
        <v>40</v>
      </c>
      <c r="E206" s="3">
        <f>IF($A206="","",SUMIF('4. STOCK OUT'!$B:$B,$A206,'4. STOCK OUT'!$E:$E))</f>
        <v>0</v>
      </c>
      <c r="F206" s="3">
        <f t="shared" si="3"/>
        <v>40</v>
      </c>
      <c r="G206" t="str">
        <f>IF($A206="","",IFERROR(IF($F206&lt;=0,"OUT OF STOCK",IF($F206&lt;=VLOOKUP($A206,'2. ITEM MASTER'!$A:$D,4,FALSE),"LOW STOCK","OK")),""))</f>
        <v>OK</v>
      </c>
    </row>
    <row r="207" spans="1:7" x14ac:dyDescent="0.35">
      <c r="A207" t="str">
        <f>IF('2. ITEM MASTER'!A207="","",'2. ITEM MASTER'!A207)</f>
        <v>E-077</v>
      </c>
      <c r="B207" t="str">
        <f>IFERROR(VLOOKUP($A207,'2. ITEM MASTER'!$A:$D,2,FALSE),"")</f>
        <v>PCB  BOARDS</v>
      </c>
      <c r="C207" t="str">
        <f>IFERROR(VLOOKUP($A207,'2. ITEM MASTER'!$A:$D,3,FALSE),"")</f>
        <v>Electronics</v>
      </c>
      <c r="D207" s="3">
        <f>IF($A207="","",SUMIF('3. STOCK IN'!$B:$B,$A207,'3. STOCK IN'!$E:$E))</f>
        <v>53</v>
      </c>
      <c r="E207" s="3">
        <f>IF($A207="","",SUMIF('4. STOCK OUT'!$B:$B,$A207,'4. STOCK OUT'!$E:$E))</f>
        <v>0</v>
      </c>
      <c r="F207" s="3">
        <f t="shared" si="3"/>
        <v>53</v>
      </c>
      <c r="G207" t="str">
        <f>IF($A207="","",IFERROR(IF($F207&lt;=0,"OUT OF STOCK",IF($F207&lt;=VLOOKUP($A207,'2. ITEM MASTER'!$A:$D,4,FALSE),"LOW STOCK","OK")),""))</f>
        <v>OK</v>
      </c>
    </row>
    <row r="208" spans="1:7" x14ac:dyDescent="0.35">
      <c r="A208" t="str">
        <f>IF('2. ITEM MASTER'!A208="","",'2. ITEM MASTER'!A208)</f>
        <v>E-078</v>
      </c>
      <c r="B208" t="str">
        <f>IFERROR(VLOOKUP($A208,'2. ITEM MASTER'!$A:$D,2,FALSE),"")</f>
        <v>RELAY  PCB</v>
      </c>
      <c r="C208" t="str">
        <f>IFERROR(VLOOKUP($A208,'2. ITEM MASTER'!$A:$D,3,FALSE),"")</f>
        <v>Electronics</v>
      </c>
      <c r="D208" s="3">
        <f>IF($A208="","",SUMIF('3. STOCK IN'!$B:$B,$A208,'3. STOCK IN'!$E:$E))</f>
        <v>100</v>
      </c>
      <c r="E208" s="3">
        <f>IF($A208="","",SUMIF('4. STOCK OUT'!$B:$B,$A208,'4. STOCK OUT'!$E:$E))</f>
        <v>0</v>
      </c>
      <c r="F208" s="3">
        <f t="shared" si="3"/>
        <v>100</v>
      </c>
      <c r="G208" t="str">
        <f>IF($A208="","",IFERROR(IF($F208&lt;=0,"OUT OF STOCK",IF($F208&lt;=VLOOKUP($A208,'2. ITEM MASTER'!$A:$D,4,FALSE),"LOW STOCK","OK")),""))</f>
        <v>OK</v>
      </c>
    </row>
    <row r="209" spans="1:7" x14ac:dyDescent="0.35">
      <c r="A209" t="str">
        <f>IF('2. ITEM MASTER'!A209="","",'2. ITEM MASTER'!A209)</f>
        <v>E-079</v>
      </c>
      <c r="B209" t="str">
        <f>IFERROR(VLOOKUP($A209,'2. ITEM MASTER'!$A:$D,2,FALSE),"")</f>
        <v>GSM  ANTENNA</v>
      </c>
      <c r="C209" t="str">
        <f>IFERROR(VLOOKUP($A209,'2. ITEM MASTER'!$A:$D,3,FALSE),"")</f>
        <v>Electronics</v>
      </c>
      <c r="D209" s="3">
        <f>IF($A209="","",SUMIF('3. STOCK IN'!$B:$B,$A209,'3. STOCK IN'!$E:$E))</f>
        <v>100</v>
      </c>
      <c r="E209" s="3">
        <f>IF($A209="","",SUMIF('4. STOCK OUT'!$B:$B,$A209,'4. STOCK OUT'!$E:$E))</f>
        <v>0</v>
      </c>
      <c r="F209" s="3">
        <f t="shared" si="3"/>
        <v>100</v>
      </c>
      <c r="G209" t="str">
        <f>IF($A209="","",IFERROR(IF($F209&lt;=0,"OUT OF STOCK",IF($F209&lt;=VLOOKUP($A209,'2. ITEM MASTER'!$A:$D,4,FALSE),"LOW STOCK","OK")),""))</f>
        <v>OK</v>
      </c>
    </row>
    <row r="210" spans="1:7" x14ac:dyDescent="0.35">
      <c r="A210" t="str">
        <f>IF('2. ITEM MASTER'!A210="","",'2. ITEM MASTER'!A210)</f>
        <v>E-080</v>
      </c>
      <c r="B210" t="str">
        <f>IFERROR(VLOOKUP($A210,'2. ITEM MASTER'!$A:$D,2,FALSE),"")</f>
        <v>LCD  DISPLAY</v>
      </c>
      <c r="C210" t="str">
        <f>IFERROR(VLOOKUP($A210,'2. ITEM MASTER'!$A:$D,3,FALSE),"")</f>
        <v>Electronics</v>
      </c>
      <c r="D210" s="3">
        <f>IF($A210="","",SUMIF('3. STOCK IN'!$B:$B,$A210,'3. STOCK IN'!$E:$E))</f>
        <v>60</v>
      </c>
      <c r="E210" s="3">
        <f>IF($A210="","",SUMIF('4. STOCK OUT'!$B:$B,$A210,'4. STOCK OUT'!$E:$E))</f>
        <v>0</v>
      </c>
      <c r="F210" s="3">
        <f t="shared" si="3"/>
        <v>60</v>
      </c>
      <c r="G210" t="str">
        <f>IF($A210="","",IFERROR(IF($F210&lt;=0,"OUT OF STOCK",IF($F210&lt;=VLOOKUP($A210,'2. ITEM MASTER'!$A:$D,4,FALSE),"LOW STOCK","OK")),""))</f>
        <v>OK</v>
      </c>
    </row>
    <row r="211" spans="1:7" x14ac:dyDescent="0.35">
      <c r="A211" t="str">
        <f>IF('2. ITEM MASTER'!A211="","",'2. ITEM MASTER'!A211)</f>
        <v>E-081</v>
      </c>
      <c r="B211" t="str">
        <f>IFERROR(VLOOKUP($A211,'2. ITEM MASTER'!$A:$D,2,FALSE),"")</f>
        <v>FRP CABLE</v>
      </c>
      <c r="C211" t="str">
        <f>IFERROR(VLOOKUP($A211,'2. ITEM MASTER'!$A:$D,3,FALSE),"")</f>
        <v>Electronics</v>
      </c>
      <c r="D211" s="3">
        <f>IF($A211="","",SUMIF('3. STOCK IN'!$B:$B,$A211,'3. STOCK IN'!$E:$E))</f>
        <v>100</v>
      </c>
      <c r="E211" s="3">
        <f>IF($A211="","",SUMIF('4. STOCK OUT'!$B:$B,$A211,'4. STOCK OUT'!$E:$E))</f>
        <v>0</v>
      </c>
      <c r="F211" s="3">
        <f t="shared" si="3"/>
        <v>100</v>
      </c>
      <c r="G211" t="str">
        <f>IF($A211="","",IFERROR(IF($F211&lt;=0,"OUT OF STOCK",IF($F211&lt;=VLOOKUP($A211,'2. ITEM MASTER'!$A:$D,4,FALSE),"LOW STOCK","OK")),""))</f>
        <v>OK</v>
      </c>
    </row>
    <row r="212" spans="1:7" x14ac:dyDescent="0.35">
      <c r="A212" t="str">
        <f>IF('2. ITEM MASTER'!A212="","",'2. ITEM MASTER'!A212)</f>
        <v>E-082</v>
      </c>
      <c r="B212" t="str">
        <f>IFERROR(VLOOKUP($A212,'2. ITEM MASTER'!$A:$D,2,FALSE),"")</f>
        <v>PCB BIG CONNECTOR</v>
      </c>
      <c r="C212" t="str">
        <f>IFERROR(VLOOKUP($A212,'2. ITEM MASTER'!$A:$D,3,FALSE),"")</f>
        <v>Electronics</v>
      </c>
      <c r="D212" s="3">
        <f>IF($A212="","",SUMIF('3. STOCK IN'!$B:$B,$A212,'3. STOCK IN'!$E:$E))</f>
        <v>70</v>
      </c>
      <c r="E212" s="3">
        <f>IF($A212="","",SUMIF('4. STOCK OUT'!$B:$B,$A212,'4. STOCK OUT'!$E:$E))</f>
        <v>0</v>
      </c>
      <c r="F212" s="3">
        <f t="shared" si="3"/>
        <v>70</v>
      </c>
      <c r="G212" t="str">
        <f>IF($A212="","",IFERROR(IF($F212&lt;=0,"OUT OF STOCK",IF($F212&lt;=VLOOKUP($A212,'2. ITEM MASTER'!$A:$D,4,FALSE),"LOW STOCK","OK")),""))</f>
        <v>OK</v>
      </c>
    </row>
    <row r="213" spans="1:7" x14ac:dyDescent="0.35">
      <c r="A213" t="str">
        <f>IF('2. ITEM MASTER'!A213="","",'2. ITEM MASTER'!A213)</f>
        <v>E-083</v>
      </c>
      <c r="B213" t="str">
        <f>IFERROR(VLOOKUP($A213,'2. ITEM MASTER'!$A:$D,2,FALSE),"")</f>
        <v>PCB SMALL  CONNECTOR</v>
      </c>
      <c r="C213" t="str">
        <f>IFERROR(VLOOKUP($A213,'2. ITEM MASTER'!$A:$D,3,FALSE),"")</f>
        <v>Electronics</v>
      </c>
      <c r="D213" s="3">
        <f>IF($A213="","",SUMIF('3. STOCK IN'!$B:$B,$A213,'3. STOCK IN'!$E:$E))</f>
        <v>140</v>
      </c>
      <c r="E213" s="3">
        <f>IF($A213="","",SUMIF('4. STOCK OUT'!$B:$B,$A213,'4. STOCK OUT'!$E:$E))</f>
        <v>0</v>
      </c>
      <c r="F213" s="3">
        <f t="shared" si="3"/>
        <v>140</v>
      </c>
      <c r="G213" t="str">
        <f>IF($A213="","",IFERROR(IF($F213&lt;=0,"OUT OF STOCK",IF($F213&lt;=VLOOKUP($A213,'2. ITEM MASTER'!$A:$D,4,FALSE),"LOW STOCK","OK")),""))</f>
        <v>OK</v>
      </c>
    </row>
    <row r="214" spans="1:7" x14ac:dyDescent="0.35">
      <c r="A214" t="str">
        <f>IF('2. ITEM MASTER'!A214="","",'2. ITEM MASTER'!A214)</f>
        <v>E-084</v>
      </c>
      <c r="B214" t="str">
        <f>IFERROR(VLOOKUP($A214,'2. ITEM MASTER'!$A:$D,2,FALSE),"")</f>
        <v>32 AMP (ELCB)</v>
      </c>
      <c r="C214" t="str">
        <f>IFERROR(VLOOKUP($A214,'2. ITEM MASTER'!$A:$D,3,FALSE),"")</f>
        <v>Electronics</v>
      </c>
      <c r="D214" s="3">
        <f>IF($A214="","",SUMIF('3. STOCK IN'!$B:$B,$A214,'3. STOCK IN'!$E:$E))</f>
        <v>31</v>
      </c>
      <c r="E214" s="3">
        <f>IF($A214="","",SUMIF('4. STOCK OUT'!$B:$B,$A214,'4. STOCK OUT'!$E:$E))</f>
        <v>0</v>
      </c>
      <c r="F214" s="3">
        <f t="shared" si="3"/>
        <v>31</v>
      </c>
      <c r="G214" t="str">
        <f>IF($A214="","",IFERROR(IF($F214&lt;=0,"OUT OF STOCK",IF($F214&lt;=VLOOKUP($A214,'2. ITEM MASTER'!$A:$D,4,FALSE),"LOW STOCK","OK")),""))</f>
        <v>OK</v>
      </c>
    </row>
    <row r="215" spans="1:7" x14ac:dyDescent="0.35">
      <c r="A215" t="str">
        <f>IF('2. ITEM MASTER'!A215="","",'2. ITEM MASTER'!A215)</f>
        <v>E-085</v>
      </c>
      <c r="B215" t="str">
        <f>IFERROR(VLOOKUP($A215,'2. ITEM MASTER'!$A:$D,2,FALSE),"")</f>
        <v>SMPS 12V (2.1 AMP)</v>
      </c>
      <c r="C215" t="str">
        <f>IFERROR(VLOOKUP($A215,'2. ITEM MASTER'!$A:$D,3,FALSE),"")</f>
        <v>Electronics</v>
      </c>
      <c r="D215" s="3">
        <f>IF($A215="","",SUMIF('3. STOCK IN'!$B:$B,$A215,'3. STOCK IN'!$E:$E))</f>
        <v>73</v>
      </c>
      <c r="E215" s="3">
        <f>IF($A215="","",SUMIF('4. STOCK OUT'!$B:$B,$A215,'4. STOCK OUT'!$E:$E))</f>
        <v>0</v>
      </c>
      <c r="F215" s="3">
        <f t="shared" si="3"/>
        <v>73</v>
      </c>
      <c r="G215" t="str">
        <f>IF($A215="","",IFERROR(IF($F215&lt;=0,"OUT OF STOCK",IF($F215&lt;=VLOOKUP($A215,'2. ITEM MASTER'!$A:$D,4,FALSE),"LOW STOCK","OK")),""))</f>
        <v>OK</v>
      </c>
    </row>
    <row r="216" spans="1:7" x14ac:dyDescent="0.35">
      <c r="A216" t="str">
        <f>IF('2. ITEM MASTER'!A216="","",'2. ITEM MASTER'!A216)</f>
        <v>E-086</v>
      </c>
      <c r="B216" t="str">
        <f>IFERROR(VLOOKUP($A216,'2. ITEM MASTER'!$A:$D,2,FALSE),"")</f>
        <v>MCB 10 A 1P</v>
      </c>
      <c r="C216" t="str">
        <f>IFERROR(VLOOKUP($A216,'2. ITEM MASTER'!$A:$D,3,FALSE),"")</f>
        <v>Electronics</v>
      </c>
      <c r="D216" s="3">
        <f>IF($A216="","",SUMIF('3. STOCK IN'!$B:$B,$A216,'3. STOCK IN'!$E:$E))</f>
        <v>23</v>
      </c>
      <c r="E216" s="3">
        <f>IF($A216="","",SUMIF('4. STOCK OUT'!$B:$B,$A216,'4. STOCK OUT'!$E:$E))</f>
        <v>0</v>
      </c>
      <c r="F216" s="3">
        <f t="shared" si="3"/>
        <v>23</v>
      </c>
      <c r="G216" t="str">
        <f>IF($A216="","",IFERROR(IF($F216&lt;=0,"OUT OF STOCK",IF($F216&lt;=VLOOKUP($A216,'2. ITEM MASTER'!$A:$D,4,FALSE),"LOW STOCK","OK")),""))</f>
        <v>OK</v>
      </c>
    </row>
    <row r="217" spans="1:7" x14ac:dyDescent="0.35">
      <c r="A217" t="str">
        <f>IF('2. ITEM MASTER'!A217="","",'2. ITEM MASTER'!A217)</f>
        <v>E-087</v>
      </c>
      <c r="B217" t="str">
        <f>IFERROR(VLOOKUP($A217,'2. ITEM MASTER'!$A:$D,2,FALSE),"")</f>
        <v>MCB 16 A 2P</v>
      </c>
      <c r="C217" t="str">
        <f>IFERROR(VLOOKUP($A217,'2. ITEM MASTER'!$A:$D,3,FALSE),"")</f>
        <v>Electronics</v>
      </c>
      <c r="D217" s="3">
        <f>IF($A217="","",SUMIF('3. STOCK IN'!$B:$B,$A217,'3. STOCK IN'!$E:$E))</f>
        <v>5</v>
      </c>
      <c r="E217" s="3">
        <f>IF($A217="","",SUMIF('4. STOCK OUT'!$B:$B,$A217,'4. STOCK OUT'!$E:$E))</f>
        <v>0</v>
      </c>
      <c r="F217" s="3">
        <f t="shared" si="3"/>
        <v>5</v>
      </c>
      <c r="G217" t="str">
        <f>IF($A217="","",IFERROR(IF($F217&lt;=0,"OUT OF STOCK",IF($F217&lt;=VLOOKUP($A217,'2. ITEM MASTER'!$A:$D,4,FALSE),"LOW STOCK","OK")),""))</f>
        <v>LOW STOCK</v>
      </c>
    </row>
    <row r="218" spans="1:7" x14ac:dyDescent="0.35">
      <c r="A218" t="str">
        <f>IF('2. ITEM MASTER'!A218="","",'2. ITEM MASTER'!A218)</f>
        <v>E-088</v>
      </c>
      <c r="B218" t="str">
        <f>IFERROR(VLOOKUP($A218,'2. ITEM MASTER'!$A:$D,2,FALSE),"")</f>
        <v>LIMIT SWITCH BIG</v>
      </c>
      <c r="C218" t="str">
        <f>IFERROR(VLOOKUP($A218,'2. ITEM MASTER'!$A:$D,3,FALSE),"")</f>
        <v>Electronics</v>
      </c>
      <c r="D218" s="3">
        <f>IF($A218="","",SUMIF('3. STOCK IN'!$B:$B,$A218,'3. STOCK IN'!$E:$E))</f>
        <v>9</v>
      </c>
      <c r="E218" s="3">
        <f>IF($A218="","",SUMIF('4. STOCK OUT'!$B:$B,$A218,'4. STOCK OUT'!$E:$E))</f>
        <v>0</v>
      </c>
      <c r="F218" s="3">
        <f t="shared" si="3"/>
        <v>9</v>
      </c>
      <c r="G218" t="str">
        <f>IF($A218="","",IFERROR(IF($F218&lt;=0,"OUT OF STOCK",IF($F218&lt;=VLOOKUP($A218,'2. ITEM MASTER'!$A:$D,4,FALSE),"LOW STOCK","OK")),""))</f>
        <v>OK</v>
      </c>
    </row>
    <row r="219" spans="1:7" x14ac:dyDescent="0.35">
      <c r="A219" t="str">
        <f>IF('2. ITEM MASTER'!A219="","",'2. ITEM MASTER'!A219)</f>
        <v>E-089</v>
      </c>
      <c r="B219" t="str">
        <f>IFERROR(VLOOKUP($A219,'2. ITEM MASTER'!$A:$D,2,FALSE),"")</f>
        <v>LIMIT SWITCH MICRO</v>
      </c>
      <c r="C219" t="str">
        <f>IFERROR(VLOOKUP($A219,'2. ITEM MASTER'!$A:$D,3,FALSE),"")</f>
        <v>Electronics</v>
      </c>
      <c r="D219" s="3">
        <f>IF($A219="","",SUMIF('3. STOCK IN'!$B:$B,$A219,'3. STOCK IN'!$E:$E))</f>
        <v>13</v>
      </c>
      <c r="E219" s="3">
        <f>IF($A219="","",SUMIF('4. STOCK OUT'!$B:$B,$A219,'4. STOCK OUT'!$E:$E))</f>
        <v>0</v>
      </c>
      <c r="F219" s="3">
        <f t="shared" si="3"/>
        <v>13</v>
      </c>
      <c r="G219" t="str">
        <f>IF($A219="","",IFERROR(IF($F219&lt;=0,"OUT OF STOCK",IF($F219&lt;=VLOOKUP($A219,'2. ITEM MASTER'!$A:$D,4,FALSE),"LOW STOCK","OK")),""))</f>
        <v>OK</v>
      </c>
    </row>
    <row r="220" spans="1:7" x14ac:dyDescent="0.35">
      <c r="A220" t="str">
        <f>IF('2. ITEM MASTER'!A220="","",'2. ITEM MASTER'!A220)</f>
        <v>E-090</v>
      </c>
      <c r="B220" t="str">
        <f>IFERROR(VLOOKUP($A220,'2. ITEM MASTER'!$A:$D,2,FALSE),"")</f>
        <v>LDR  SENSOR</v>
      </c>
      <c r="C220" t="str">
        <f>IFERROR(VLOOKUP($A220,'2. ITEM MASTER'!$A:$D,3,FALSE),"")</f>
        <v>Electronics</v>
      </c>
      <c r="D220" s="3">
        <f>IF($A220="","",SUMIF('3. STOCK IN'!$B:$B,$A220,'3. STOCK IN'!$E:$E))</f>
        <v>63</v>
      </c>
      <c r="E220" s="3">
        <f>IF($A220="","",SUMIF('4. STOCK OUT'!$B:$B,$A220,'4. STOCK OUT'!$E:$E))</f>
        <v>0</v>
      </c>
      <c r="F220" s="3">
        <f t="shared" si="3"/>
        <v>63</v>
      </c>
      <c r="G220" t="str">
        <f>IF($A220="","",IFERROR(IF($F220&lt;=0,"OUT OF STOCK",IF($F220&lt;=VLOOKUP($A220,'2. ITEM MASTER'!$A:$D,4,FALSE),"LOW STOCK","OK")),""))</f>
        <v>OK</v>
      </c>
    </row>
    <row r="221" spans="1:7" x14ac:dyDescent="0.35">
      <c r="A221" t="str">
        <f>IF('2. ITEM MASTER'!A221="","",'2. ITEM MASTER'!A221)</f>
        <v>E-091</v>
      </c>
      <c r="B221" t="str">
        <f>IFERROR(VLOOKUP($A221,'2. ITEM MASTER'!$A:$D,2,FALSE),"")</f>
        <v>PUSH  BUTTON</v>
      </c>
      <c r="C221" t="str">
        <f>IFERROR(VLOOKUP($A221,'2. ITEM MASTER'!$A:$D,3,FALSE),"")</f>
        <v>Electronics</v>
      </c>
      <c r="D221" s="3">
        <f>IF($A221="","",SUMIF('3. STOCK IN'!$B:$B,$A221,'3. STOCK IN'!$E:$E))</f>
        <v>73</v>
      </c>
      <c r="E221" s="3">
        <f>IF($A221="","",SUMIF('4. STOCK OUT'!$B:$B,$A221,'4. STOCK OUT'!$E:$E))</f>
        <v>0</v>
      </c>
      <c r="F221" s="3">
        <f t="shared" si="3"/>
        <v>73</v>
      </c>
      <c r="G221" t="str">
        <f>IF($A221="","",IFERROR(IF($F221&lt;=0,"OUT OF STOCK",IF($F221&lt;=VLOOKUP($A221,'2. ITEM MASTER'!$A:$D,4,FALSE),"LOW STOCK","OK")),""))</f>
        <v>OK</v>
      </c>
    </row>
    <row r="222" spans="1:7" x14ac:dyDescent="0.35">
      <c r="A222" t="str">
        <f>IF('2. ITEM MASTER'!A222="","",'2. ITEM MASTER'!A222)</f>
        <v>E-092</v>
      </c>
      <c r="B222" t="str">
        <f>IFERROR(VLOOKUP($A222,'2. ITEM MASTER'!$A:$D,2,FALSE),"")</f>
        <v>PB CONNECTOR</v>
      </c>
      <c r="C222" t="str">
        <f>IFERROR(VLOOKUP($A222,'2. ITEM MASTER'!$A:$D,3,FALSE),"")</f>
        <v>Electronics</v>
      </c>
      <c r="D222" s="3">
        <f>IF($A222="","",SUMIF('3. STOCK IN'!$B:$B,$A222,'3. STOCK IN'!$E:$E))</f>
        <v>33</v>
      </c>
      <c r="E222" s="3">
        <f>IF($A222="","",SUMIF('4. STOCK OUT'!$B:$B,$A222,'4. STOCK OUT'!$E:$E))</f>
        <v>0</v>
      </c>
      <c r="F222" s="3">
        <f t="shared" si="3"/>
        <v>33</v>
      </c>
      <c r="G222" t="str">
        <f>IF($A222="","",IFERROR(IF($F222&lt;=0,"OUT OF STOCK",IF($F222&lt;=VLOOKUP($A222,'2. ITEM MASTER'!$A:$D,4,FALSE),"LOW STOCK","OK")),""))</f>
        <v>OK</v>
      </c>
    </row>
    <row r="223" spans="1:7" x14ac:dyDescent="0.35">
      <c r="A223" t="str">
        <f>IF('2. ITEM MASTER'!A223="","",'2. ITEM MASTER'!A223)</f>
        <v>E-093</v>
      </c>
      <c r="B223" t="str">
        <f>IFERROR(VLOOKUP($A223,'2. ITEM MASTER'!$A:$D,2,FALSE),"")</f>
        <v>SOLENOID VALVE (0.5 inch)</v>
      </c>
      <c r="C223" t="str">
        <f>IFERROR(VLOOKUP($A223,'2. ITEM MASTER'!$A:$D,3,FALSE),"")</f>
        <v>Electronics</v>
      </c>
      <c r="D223" s="3">
        <f>IF($A223="","",SUMIF('3. STOCK IN'!$B:$B,$A223,'3. STOCK IN'!$E:$E))</f>
        <v>16</v>
      </c>
      <c r="E223" s="3">
        <f>IF($A223="","",SUMIF('4. STOCK OUT'!$B:$B,$A223,'4. STOCK OUT'!$E:$E))</f>
        <v>0</v>
      </c>
      <c r="F223" s="3">
        <f t="shared" si="3"/>
        <v>16</v>
      </c>
      <c r="G223" t="str">
        <f>IF($A223="","",IFERROR(IF($F223&lt;=0,"OUT OF STOCK",IF($F223&lt;=VLOOKUP($A223,'2. ITEM MASTER'!$A:$D,4,FALSE),"LOW STOCK","OK")),""))</f>
        <v>OK</v>
      </c>
    </row>
    <row r="224" spans="1:7" x14ac:dyDescent="0.35">
      <c r="A224" t="str">
        <f>IF('2. ITEM MASTER'!A224="","",'2. ITEM MASTER'!A224)</f>
        <v>E-094</v>
      </c>
      <c r="B224" t="str">
        <f>IFERROR(VLOOKUP($A224,'2. ITEM MASTER'!$A:$D,2,FALSE),"")</f>
        <v>SOLENOID VALVE (1 inch)</v>
      </c>
      <c r="C224" t="str">
        <f>IFERROR(VLOOKUP($A224,'2. ITEM MASTER'!$A:$D,3,FALSE),"")</f>
        <v>Electronics</v>
      </c>
      <c r="D224" s="3">
        <f>IF($A224="","",SUMIF('3. STOCK IN'!$B:$B,$A224,'3. STOCK IN'!$E:$E))</f>
        <v>207</v>
      </c>
      <c r="E224" s="3">
        <f>IF($A224="","",SUMIF('4. STOCK OUT'!$B:$B,$A224,'4. STOCK OUT'!$E:$E))</f>
        <v>0</v>
      </c>
      <c r="F224" s="3">
        <f t="shared" si="3"/>
        <v>207</v>
      </c>
      <c r="G224" t="str">
        <f>IF($A224="","",IFERROR(IF($F224&lt;=0,"OUT OF STOCK",IF($F224&lt;=VLOOKUP($A224,'2. ITEM MASTER'!$A:$D,4,FALSE),"LOW STOCK","OK")),""))</f>
        <v>OK</v>
      </c>
    </row>
    <row r="225" spans="1:7" x14ac:dyDescent="0.35">
      <c r="A225" t="str">
        <f>IF('2. ITEM MASTER'!A225="","",'2. ITEM MASTER'!A225)</f>
        <v>E-095</v>
      </c>
      <c r="B225" t="str">
        <f>IFERROR(VLOOKUP($A225,'2. ITEM MASTER'!$A:$D,2,FALSE),"")</f>
        <v>RED INDICATOR  (2watt)</v>
      </c>
      <c r="C225" t="str">
        <f>IFERROR(VLOOKUP($A225,'2. ITEM MASTER'!$A:$D,3,FALSE),"")</f>
        <v>Electronics</v>
      </c>
      <c r="D225" s="3">
        <f>IF($A225="","",SUMIF('3. STOCK IN'!$B:$B,$A225,'3. STOCK IN'!$E:$E))</f>
        <v>32</v>
      </c>
      <c r="E225" s="3">
        <f>IF($A225="","",SUMIF('4. STOCK OUT'!$B:$B,$A225,'4. STOCK OUT'!$E:$E))</f>
        <v>0</v>
      </c>
      <c r="F225" s="3">
        <f t="shared" si="3"/>
        <v>32</v>
      </c>
      <c r="G225" t="str">
        <f>IF($A225="","",IFERROR(IF($F225&lt;=0,"OUT OF STOCK",IF($F225&lt;=VLOOKUP($A225,'2. ITEM MASTER'!$A:$D,4,FALSE),"LOW STOCK","OK")),""))</f>
        <v>OK</v>
      </c>
    </row>
    <row r="226" spans="1:7" x14ac:dyDescent="0.35">
      <c r="A226" t="str">
        <f>IF('2. ITEM MASTER'!A226="","",'2. ITEM MASTER'!A226)</f>
        <v>E-096</v>
      </c>
      <c r="B226" t="str">
        <f>IFERROR(VLOOKUP($A226,'2. ITEM MASTER'!$A:$D,2,FALSE),"")</f>
        <v>GREEN INDICATOR  (2watt)</v>
      </c>
      <c r="C226" t="str">
        <f>IFERROR(VLOOKUP($A226,'2. ITEM MASTER'!$A:$D,3,FALSE),"")</f>
        <v>Electronics</v>
      </c>
      <c r="D226" s="3">
        <f>IF($A226="","",SUMIF('3. STOCK IN'!$B:$B,$A226,'3. STOCK IN'!$E:$E))</f>
        <v>26</v>
      </c>
      <c r="E226" s="3">
        <f>IF($A226="","",SUMIF('4. STOCK OUT'!$B:$B,$A226,'4. STOCK OUT'!$E:$E))</f>
        <v>0</v>
      </c>
      <c r="F226" s="3">
        <f t="shared" si="3"/>
        <v>26</v>
      </c>
      <c r="G226" t="str">
        <f>IF($A226="","",IFERROR(IF($F226&lt;=0,"OUT OF STOCK",IF($F226&lt;=VLOOKUP($A226,'2. ITEM MASTER'!$A:$D,4,FALSE),"LOW STOCK","OK")),""))</f>
        <v>OK</v>
      </c>
    </row>
    <row r="227" spans="1:7" x14ac:dyDescent="0.35">
      <c r="A227" t="str">
        <f>IF('2. ITEM MASTER'!A227="","",'2. ITEM MASTER'!A227)</f>
        <v>E-097</v>
      </c>
      <c r="B227" t="str">
        <f>IFERROR(VLOOKUP($A227,'2. ITEM MASTER'!$A:$D,2,FALSE),"")</f>
        <v>PANASONIC LIGHT  (3 watt)</v>
      </c>
      <c r="C227" t="str">
        <f>IFERROR(VLOOKUP($A227,'2. ITEM MASTER'!$A:$D,3,FALSE),"")</f>
        <v>Electronics</v>
      </c>
      <c r="D227" s="3">
        <f>IF($A227="","",SUMIF('3. STOCK IN'!$B:$B,$A227,'3. STOCK IN'!$E:$E))</f>
        <v>116</v>
      </c>
      <c r="E227" s="3">
        <f>IF($A227="","",SUMIF('4. STOCK OUT'!$B:$B,$A227,'4. STOCK OUT'!$E:$E))</f>
        <v>0</v>
      </c>
      <c r="F227" s="3">
        <f t="shared" si="3"/>
        <v>116</v>
      </c>
      <c r="G227" t="str">
        <f>IF($A227="","",IFERROR(IF($F227&lt;=0,"OUT OF STOCK",IF($F227&lt;=VLOOKUP($A227,'2. ITEM MASTER'!$A:$D,4,FALSE),"LOW STOCK","OK")),""))</f>
        <v>OK</v>
      </c>
    </row>
    <row r="228" spans="1:7" x14ac:dyDescent="0.35">
      <c r="A228" t="str">
        <f>IF('2. ITEM MASTER'!A228="","",'2. ITEM MASTER'!A228)</f>
        <v>E-098</v>
      </c>
      <c r="B228" t="str">
        <f>IFERROR(VLOOKUP($A228,'2. ITEM MASTER'!$A:$D,2,FALSE),"")</f>
        <v>ACTUATOR</v>
      </c>
      <c r="C228" t="str">
        <f>IFERROR(VLOOKUP($A228,'2. ITEM MASTER'!$A:$D,3,FALSE),"")</f>
        <v>Electronics</v>
      </c>
      <c r="D228" s="3">
        <f>IF($A228="","",SUMIF('3. STOCK IN'!$B:$B,$A228,'3. STOCK IN'!$E:$E))</f>
        <v>90</v>
      </c>
      <c r="E228" s="3">
        <f>IF($A228="","",SUMIF('4. STOCK OUT'!$B:$B,$A228,'4. STOCK OUT'!$E:$E))</f>
        <v>0</v>
      </c>
      <c r="F228" s="3">
        <f t="shared" si="3"/>
        <v>90</v>
      </c>
      <c r="G228" t="str">
        <f>IF($A228="","",IFERROR(IF($F228&lt;=0,"OUT OF STOCK",IF($F228&lt;=VLOOKUP($A228,'2. ITEM MASTER'!$A:$D,4,FALSE),"LOW STOCK","OK")),""))</f>
        <v>OK</v>
      </c>
    </row>
    <row r="229" spans="1:7" x14ac:dyDescent="0.35">
      <c r="A229" t="str">
        <f>IF('2. ITEM MASTER'!A229="","",'2. ITEM MASTER'!A229)</f>
        <v>E-099</v>
      </c>
      <c r="B229" t="str">
        <f>IFERROR(VLOOKUP($A229,'2. ITEM MASTER'!$A:$D,2,FALSE),"")</f>
        <v>COIN ACCEPTOR</v>
      </c>
      <c r="C229" t="str">
        <f>IFERROR(VLOOKUP($A229,'2. ITEM MASTER'!$A:$D,3,FALSE),"")</f>
        <v>Electronics</v>
      </c>
      <c r="D229" s="3">
        <f>IF($A229="","",SUMIF('3. STOCK IN'!$B:$B,$A229,'3. STOCK IN'!$E:$E))</f>
        <v>5</v>
      </c>
      <c r="E229" s="3">
        <f>IF($A229="","",SUMIF('4. STOCK OUT'!$B:$B,$A229,'4. STOCK OUT'!$E:$E))</f>
        <v>0</v>
      </c>
      <c r="F229" s="3">
        <f t="shared" si="3"/>
        <v>5</v>
      </c>
      <c r="G229" t="str">
        <f>IF($A229="","",IFERROR(IF($F229&lt;=0,"OUT OF STOCK",IF($F229&lt;=VLOOKUP($A229,'2. ITEM MASTER'!$A:$D,4,FALSE),"LOW STOCK","OK")),""))</f>
        <v>LOW STOCK</v>
      </c>
    </row>
    <row r="230" spans="1:7" x14ac:dyDescent="0.35">
      <c r="A230" t="str">
        <f>IF('2. ITEM MASTER'!A230="","",'2. ITEM MASTER'!A230)</f>
        <v>E-100</v>
      </c>
      <c r="B230" t="str">
        <f>IFERROR(VLOOKUP($A230,'2. ITEM MASTER'!$A:$D,2,FALSE),"")</f>
        <v>BUZZER</v>
      </c>
      <c r="C230" t="str">
        <f>IFERROR(VLOOKUP($A230,'2. ITEM MASTER'!$A:$D,3,FALSE),"")</f>
        <v>Electronics</v>
      </c>
      <c r="D230" s="3">
        <f>IF($A230="","",SUMIF('3. STOCK IN'!$B:$B,$A230,'3. STOCK IN'!$E:$E))</f>
        <v>15</v>
      </c>
      <c r="E230" s="3">
        <f>IF($A230="","",SUMIF('4. STOCK OUT'!$B:$B,$A230,'4. STOCK OUT'!$E:$E))</f>
        <v>0</v>
      </c>
      <c r="F230" s="3">
        <f t="shared" si="3"/>
        <v>15</v>
      </c>
      <c r="G230" t="str">
        <f>IF($A230="","",IFERROR(IF($F230&lt;=0,"OUT OF STOCK",IF($F230&lt;=VLOOKUP($A230,'2. ITEM MASTER'!$A:$D,4,FALSE),"LOW STOCK","OK")),""))</f>
        <v>OK</v>
      </c>
    </row>
    <row r="231" spans="1:7" x14ac:dyDescent="0.35">
      <c r="A231" t="str">
        <f>IF('2. ITEM MASTER'!A231="","",'2. ITEM MASTER'!A231)</f>
        <v>E-101</v>
      </c>
      <c r="B231" t="str">
        <f>IFERROR(VLOOKUP($A231,'2. ITEM MASTER'!$A:$D,2,FALSE),"")</f>
        <v>EX-HUST FAN</v>
      </c>
      <c r="C231" t="str">
        <f>IFERROR(VLOOKUP($A231,'2. ITEM MASTER'!$A:$D,3,FALSE),"")</f>
        <v>Electronics</v>
      </c>
      <c r="D231" s="3">
        <f>IF($A231="","",SUMIF('3. STOCK IN'!$B:$B,$A231,'3. STOCK IN'!$E:$E))</f>
        <v>6</v>
      </c>
      <c r="E231" s="3">
        <f>IF($A231="","",SUMIF('4. STOCK OUT'!$B:$B,$A231,'4. STOCK OUT'!$E:$E))</f>
        <v>0</v>
      </c>
      <c r="F231" s="3">
        <f t="shared" si="3"/>
        <v>6</v>
      </c>
      <c r="G231" t="str">
        <f>IF($A231="","",IFERROR(IF($F231&lt;=0,"OUT OF STOCK",IF($F231&lt;=VLOOKUP($A231,'2. ITEM MASTER'!$A:$D,4,FALSE),"LOW STOCK","OK")),""))</f>
        <v>OK</v>
      </c>
    </row>
    <row r="232" spans="1:7" x14ac:dyDescent="0.35">
      <c r="A232" t="str">
        <f>IF('2. ITEM MASTER'!A232="","",'2. ITEM MASTER'!A232)</f>
        <v>E-102</v>
      </c>
      <c r="B232" t="str">
        <f>IFERROR(VLOOKUP($A232,'2. ITEM MASTER'!$A:$D,2,FALSE),"")</f>
        <v>TOP PIN 6 AMP</v>
      </c>
      <c r="C232" t="str">
        <f>IFERROR(VLOOKUP($A232,'2. ITEM MASTER'!$A:$D,3,FALSE),"")</f>
        <v>Electronics</v>
      </c>
      <c r="D232" s="3">
        <f>IF($A232="","",SUMIF('3. STOCK IN'!$B:$B,$A232,'3. STOCK IN'!$E:$E))</f>
        <v>24</v>
      </c>
      <c r="E232" s="3">
        <f>IF($A232="","",SUMIF('4. STOCK OUT'!$B:$B,$A232,'4. STOCK OUT'!$E:$E))</f>
        <v>0</v>
      </c>
      <c r="F232" s="3">
        <f t="shared" si="3"/>
        <v>24</v>
      </c>
      <c r="G232" t="str">
        <f>IF($A232="","",IFERROR(IF($F232&lt;=0,"OUT OF STOCK",IF($F232&lt;=VLOOKUP($A232,'2. ITEM MASTER'!$A:$D,4,FALSE),"LOW STOCK","OK")),""))</f>
        <v>OK</v>
      </c>
    </row>
    <row r="233" spans="1:7" x14ac:dyDescent="0.35">
      <c r="A233" t="str">
        <f>IF('2. ITEM MASTER'!A233="","",'2. ITEM MASTER'!A233)</f>
        <v>E-103</v>
      </c>
      <c r="B233" t="str">
        <f>IFERROR(VLOOKUP($A233,'2. ITEM MASTER'!$A:$D,2,FALSE),"")</f>
        <v>PLUG  BOARDS</v>
      </c>
      <c r="C233" t="str">
        <f>IFERROR(VLOOKUP($A233,'2. ITEM MASTER'!$A:$D,3,FALSE),"")</f>
        <v>Electronics</v>
      </c>
      <c r="D233" s="3">
        <f>IF($A233="","",SUMIF('3. STOCK IN'!$B:$B,$A233,'3. STOCK IN'!$E:$E))</f>
        <v>15</v>
      </c>
      <c r="E233" s="3">
        <f>IF($A233="","",SUMIF('4. STOCK OUT'!$B:$B,$A233,'4. STOCK OUT'!$E:$E))</f>
        <v>0</v>
      </c>
      <c r="F233" s="3">
        <f t="shared" si="3"/>
        <v>15</v>
      </c>
      <c r="G233" t="str">
        <f>IF($A233="","",IFERROR(IF($F233&lt;=0,"OUT OF STOCK",IF($F233&lt;=VLOOKUP($A233,'2. ITEM MASTER'!$A:$D,4,FALSE),"LOW STOCK","OK")),""))</f>
        <v>OK</v>
      </c>
    </row>
    <row r="234" spans="1:7" x14ac:dyDescent="0.35">
      <c r="A234" t="str">
        <f>IF('2. ITEM MASTER'!A234="","",'2. ITEM MASTER'!A234)</f>
        <v>E-104</v>
      </c>
      <c r="B234" t="str">
        <f>IFERROR(VLOOKUP($A234,'2. ITEM MASTER'!$A:$D,2,FALSE),"")</f>
        <v>SOCKET</v>
      </c>
      <c r="C234" t="str">
        <f>IFERROR(VLOOKUP($A234,'2. ITEM MASTER'!$A:$D,3,FALSE),"")</f>
        <v>Electronics</v>
      </c>
      <c r="D234" s="3">
        <f>IF($A234="","",SUMIF('3. STOCK IN'!$B:$B,$A234,'3. STOCK IN'!$E:$E))</f>
        <v>30</v>
      </c>
      <c r="E234" s="3">
        <f>IF($A234="","",SUMIF('4. STOCK OUT'!$B:$B,$A234,'4. STOCK OUT'!$E:$E))</f>
        <v>0</v>
      </c>
      <c r="F234" s="3">
        <f t="shared" si="3"/>
        <v>30</v>
      </c>
      <c r="G234" t="str">
        <f>IF($A234="","",IFERROR(IF($F234&lt;=0,"OUT OF STOCK",IF($F234&lt;=VLOOKUP($A234,'2. ITEM MASTER'!$A:$D,4,FALSE),"LOW STOCK","OK")),""))</f>
        <v>OK</v>
      </c>
    </row>
    <row r="235" spans="1:7" x14ac:dyDescent="0.35">
      <c r="A235" t="str">
        <f>IF('2. ITEM MASTER'!A235="","",'2. ITEM MASTER'!A235)</f>
        <v>E-105</v>
      </c>
      <c r="B235" t="str">
        <f>IFERROR(VLOOKUP($A235,'2. ITEM MASTER'!$A:$D,2,FALSE),"")</f>
        <v>SWITCH</v>
      </c>
      <c r="C235" t="str">
        <f>IFERROR(VLOOKUP($A235,'2. ITEM MASTER'!$A:$D,3,FALSE),"")</f>
        <v>Electronics</v>
      </c>
      <c r="D235" s="3">
        <f>IF($A235="","",SUMIF('3. STOCK IN'!$B:$B,$A235,'3. STOCK IN'!$E:$E))</f>
        <v>11</v>
      </c>
      <c r="E235" s="3">
        <f>IF($A235="","",SUMIF('4. STOCK OUT'!$B:$B,$A235,'4. STOCK OUT'!$E:$E))</f>
        <v>0</v>
      </c>
      <c r="F235" s="3">
        <f t="shared" si="3"/>
        <v>11</v>
      </c>
      <c r="G235" t="str">
        <f>IF($A235="","",IFERROR(IF($F235&lt;=0,"OUT OF STOCK",IF($F235&lt;=VLOOKUP($A235,'2. ITEM MASTER'!$A:$D,4,FALSE),"LOW STOCK","OK")),""))</f>
        <v>OK</v>
      </c>
    </row>
    <row r="236" spans="1:7" x14ac:dyDescent="0.35">
      <c r="A236" t="str">
        <f>IF('2. ITEM MASTER'!A236="","",'2. ITEM MASTER'!A236)</f>
        <v>E-106</v>
      </c>
      <c r="B236" t="str">
        <f>IFERROR(VLOOKUP($A236,'2. ITEM MASTER'!$A:$D,2,FALSE),"")</f>
        <v>MCB DB BOARD</v>
      </c>
      <c r="C236" t="str">
        <f>IFERROR(VLOOKUP($A236,'2. ITEM MASTER'!$A:$D,3,FALSE),"")</f>
        <v>Electronics</v>
      </c>
      <c r="D236" s="3">
        <f>IF($A236="","",SUMIF('3. STOCK IN'!$B:$B,$A236,'3. STOCK IN'!$E:$E))</f>
        <v>11</v>
      </c>
      <c r="E236" s="3">
        <f>IF($A236="","",SUMIF('4. STOCK OUT'!$B:$B,$A236,'4. STOCK OUT'!$E:$E))</f>
        <v>0</v>
      </c>
      <c r="F236" s="3">
        <f t="shared" si="3"/>
        <v>11</v>
      </c>
      <c r="G236" t="str">
        <f>IF($A236="","",IFERROR(IF($F236&lt;=0,"OUT OF STOCK",IF($F236&lt;=VLOOKUP($A236,'2. ITEM MASTER'!$A:$D,4,FALSE),"LOW STOCK","OK")),""))</f>
        <v>OK</v>
      </c>
    </row>
    <row r="237" spans="1:7" x14ac:dyDescent="0.35">
      <c r="A237" t="str">
        <f>IF('2. ITEM MASTER'!A237="","",'2. ITEM MASTER'!A237)</f>
        <v>E-107</v>
      </c>
      <c r="B237" t="str">
        <f>IFERROR(VLOOKUP($A237,'2. ITEM MASTER'!$A:$D,2,FALSE),"")</f>
        <v>E.CONTROL PANEL SS 316</v>
      </c>
      <c r="C237" t="str">
        <f>IFERROR(VLOOKUP($A237,'2. ITEM MASTER'!$A:$D,3,FALSE),"")</f>
        <v>Electronics</v>
      </c>
      <c r="D237" s="3">
        <f>IF($A237="","",SUMIF('3. STOCK IN'!$B:$B,$A237,'3. STOCK IN'!$E:$E))</f>
        <v>28</v>
      </c>
      <c r="E237" s="3">
        <f>IF($A237="","",SUMIF('4. STOCK OUT'!$B:$B,$A237,'4. STOCK OUT'!$E:$E))</f>
        <v>0</v>
      </c>
      <c r="F237" s="3">
        <f t="shared" si="3"/>
        <v>28</v>
      </c>
      <c r="G237" t="str">
        <f>IF($A237="","",IFERROR(IF($F237&lt;=0,"OUT OF STOCK",IF($F237&lt;=VLOOKUP($A237,'2. ITEM MASTER'!$A:$D,4,FALSE),"LOW STOCK","OK")),""))</f>
        <v>OK</v>
      </c>
    </row>
    <row r="238" spans="1:7" x14ac:dyDescent="0.35">
      <c r="A238" t="str">
        <f>IF('2. ITEM MASTER'!A238="","",'2. ITEM MASTER'!A238)</f>
        <v>E-108</v>
      </c>
      <c r="B238" t="str">
        <f>IFERROR(VLOOKUP($A238,'2. ITEM MASTER'!$A:$D,2,FALSE),"")</f>
        <v>E.CONTROL PANEL SS 304</v>
      </c>
      <c r="C238" t="str">
        <f>IFERROR(VLOOKUP($A238,'2. ITEM MASTER'!$A:$D,3,FALSE),"")</f>
        <v>Electronics</v>
      </c>
      <c r="D238" s="3">
        <f>IF($A238="","",SUMIF('3. STOCK IN'!$B:$B,$A238,'3. STOCK IN'!$E:$E))</f>
        <v>0</v>
      </c>
      <c r="E238" s="3">
        <f>IF($A238="","",SUMIF('4. STOCK OUT'!$B:$B,$A238,'4. STOCK OUT'!$E:$E))</f>
        <v>0</v>
      </c>
      <c r="F238" s="3">
        <f t="shared" si="3"/>
        <v>0</v>
      </c>
      <c r="G238" t="str">
        <f>IF($A238="","",IFERROR(IF($F238&lt;=0,"OUT OF STOCK",IF($F238&lt;=VLOOKUP($A238,'2. ITEM MASTER'!$A:$D,4,FALSE),"LOW STOCK","OK")),""))</f>
        <v>OUT OF STOCK</v>
      </c>
    </row>
    <row r="239" spans="1:7" x14ac:dyDescent="0.35">
      <c r="A239" t="str">
        <f>IF('2. ITEM MASTER'!A239="","",'2. ITEM MASTER'!A239)</f>
        <v>E-109</v>
      </c>
      <c r="B239" t="str">
        <f>IFERROR(VLOOKUP($A239,'2. ITEM MASTER'!$A:$D,2,FALSE),"")</f>
        <v>INVERTER</v>
      </c>
      <c r="C239" t="str">
        <f>IFERROR(VLOOKUP($A239,'2. ITEM MASTER'!$A:$D,3,FALSE),"")</f>
        <v>Electronics</v>
      </c>
      <c r="D239" s="3">
        <f>IF($A239="","",SUMIF('3. STOCK IN'!$B:$B,$A239,'3. STOCK IN'!$E:$E))</f>
        <v>2</v>
      </c>
      <c r="E239" s="3">
        <f>IF($A239="","",SUMIF('4. STOCK OUT'!$B:$B,$A239,'4. STOCK OUT'!$E:$E))</f>
        <v>0</v>
      </c>
      <c r="F239" s="3">
        <f t="shared" si="3"/>
        <v>2</v>
      </c>
      <c r="G239" t="str">
        <f>IF($A239="","",IFERROR(IF($F239&lt;=0,"OUT OF STOCK",IF($F239&lt;=VLOOKUP($A239,'2. ITEM MASTER'!$A:$D,4,FALSE),"LOW STOCK","OK")),""))</f>
        <v>LOW STOCK</v>
      </c>
    </row>
    <row r="240" spans="1:7" x14ac:dyDescent="0.35">
      <c r="A240" t="str">
        <f>IF('2. ITEM MASTER'!A240="","",'2. ITEM MASTER'!A240)</f>
        <v>E-110</v>
      </c>
      <c r="B240" t="str">
        <f>IFERROR(VLOOKUP($A240,'2. ITEM MASTER'!$A:$D,2,FALSE),"")</f>
        <v>BATTERY</v>
      </c>
      <c r="C240" t="str">
        <f>IFERROR(VLOOKUP($A240,'2. ITEM MASTER'!$A:$D,3,FALSE),"")</f>
        <v>Electronics</v>
      </c>
      <c r="D240" s="3">
        <f>IF($A240="","",SUMIF('3. STOCK IN'!$B:$B,$A240,'3. STOCK IN'!$E:$E))</f>
        <v>3</v>
      </c>
      <c r="E240" s="3">
        <f>IF($A240="","",SUMIF('4. STOCK OUT'!$B:$B,$A240,'4. STOCK OUT'!$E:$E))</f>
        <v>0</v>
      </c>
      <c r="F240" s="3">
        <f t="shared" si="3"/>
        <v>3</v>
      </c>
      <c r="G240" t="str">
        <f>IF($A240="","",IFERROR(IF($F240&lt;=0,"OUT OF STOCK",IF($F240&lt;=VLOOKUP($A240,'2. ITEM MASTER'!$A:$D,4,FALSE),"LOW STOCK","OK")),""))</f>
        <v>LOW STOCK</v>
      </c>
    </row>
    <row r="241" spans="1:7" x14ac:dyDescent="0.35">
      <c r="A241" t="str">
        <f>IF('2. ITEM MASTER'!A241="","",'2. ITEM MASTER'!A241)</f>
        <v>E-111</v>
      </c>
      <c r="B241" t="str">
        <f>IFERROR(VLOOKUP($A241,'2. ITEM MASTER'!$A:$D,2,FALSE),"")</f>
        <v>EARTHING  PLATE</v>
      </c>
      <c r="C241" t="str">
        <f>IFERROR(VLOOKUP($A241,'2. ITEM MASTER'!$A:$D,3,FALSE),"")</f>
        <v>Electronics</v>
      </c>
      <c r="D241" s="3">
        <f>IF($A241="","",SUMIF('3. STOCK IN'!$B:$B,$A241,'3. STOCK IN'!$E:$E))</f>
        <v>33</v>
      </c>
      <c r="E241" s="3">
        <f>IF($A241="","",SUMIF('4. STOCK OUT'!$B:$B,$A241,'4. STOCK OUT'!$E:$E))</f>
        <v>0</v>
      </c>
      <c r="F241" s="3">
        <f t="shared" si="3"/>
        <v>33</v>
      </c>
      <c r="G241" t="str">
        <f>IF($A241="","",IFERROR(IF($F241&lt;=0,"OUT OF STOCK",IF($F241&lt;=VLOOKUP($A241,'2. ITEM MASTER'!$A:$D,4,FALSE),"LOW STOCK","OK")),""))</f>
        <v>OK</v>
      </c>
    </row>
    <row r="242" spans="1:7" x14ac:dyDescent="0.35">
      <c r="A242" t="str">
        <f>IF('2. ITEM MASTER'!A242="","",'2. ITEM MASTER'!A242)</f>
        <v>E-112</v>
      </c>
      <c r="B242" t="str">
        <f>IFERROR(VLOOKUP($A242,'2. ITEM MASTER'!$A:$D,2,FALSE),"")</f>
        <v>EARTHING  WIRE</v>
      </c>
      <c r="C242" t="str">
        <f>IFERROR(VLOOKUP($A242,'2. ITEM MASTER'!$A:$D,3,FALSE),"")</f>
        <v>Electronics</v>
      </c>
      <c r="D242" s="3">
        <f>IF($A242="","",SUMIF('3. STOCK IN'!$B:$B,$A242,'3. STOCK IN'!$E:$E))</f>
        <v>19</v>
      </c>
      <c r="E242" s="3">
        <f>IF($A242="","",SUMIF('4. STOCK OUT'!$B:$B,$A242,'4. STOCK OUT'!$E:$E))</f>
        <v>0</v>
      </c>
      <c r="F242" s="3">
        <f t="shared" si="3"/>
        <v>19</v>
      </c>
      <c r="G242" t="str">
        <f>IF($A242="","",IFERROR(IF($F242&lt;=0,"OUT OF STOCK",IF($F242&lt;=VLOOKUP($A242,'2. ITEM MASTER'!$A:$D,4,FALSE),"LOW STOCK","OK")),""))</f>
        <v>OK</v>
      </c>
    </row>
    <row r="243" spans="1:7" x14ac:dyDescent="0.35">
      <c r="A243" t="str">
        <f>IF('2. ITEM MASTER'!A243="","",'2. ITEM MASTER'!A243)</f>
        <v>E-113</v>
      </c>
      <c r="B243" t="str">
        <f>IFERROR(VLOOKUP($A243,'2. ITEM MASTER'!$A:$D,2,FALSE),"")</f>
        <v>1/2 HP PRESSURE MOTOR</v>
      </c>
      <c r="C243" t="str">
        <f>IFERROR(VLOOKUP($A243,'2. ITEM MASTER'!$A:$D,3,FALSE),"")</f>
        <v>Electronics</v>
      </c>
      <c r="D243" s="3">
        <f>IF($A243="","",SUMIF('3. STOCK IN'!$B:$B,$A243,'3. STOCK IN'!$E:$E))</f>
        <v>4</v>
      </c>
      <c r="E243" s="3">
        <f>IF($A243="","",SUMIF('4. STOCK OUT'!$B:$B,$A243,'4. STOCK OUT'!$E:$E))</f>
        <v>0</v>
      </c>
      <c r="F243" s="3">
        <f t="shared" si="3"/>
        <v>4</v>
      </c>
      <c r="G243" t="str">
        <f>IF($A243="","",IFERROR(IF($F243&lt;=0,"OUT OF STOCK",IF($F243&lt;=VLOOKUP($A243,'2. ITEM MASTER'!$A:$D,4,FALSE),"LOW STOCK","OK")),""))</f>
        <v>LOW STOCK</v>
      </c>
    </row>
    <row r="244" spans="1:7" x14ac:dyDescent="0.35">
      <c r="A244" t="str">
        <f>IF('2. ITEM MASTER'!A244="","",'2. ITEM MASTER'!A244)</f>
        <v>E-114</v>
      </c>
      <c r="B244" t="str">
        <f>IFERROR(VLOOKUP($A244,'2. ITEM MASTER'!$A:$D,2,FALSE),"")</f>
        <v>SOLAR PLATE</v>
      </c>
      <c r="C244" t="str">
        <f>IFERROR(VLOOKUP($A244,'2. ITEM MASTER'!$A:$D,3,FALSE),"")</f>
        <v>Electronics</v>
      </c>
      <c r="D244" s="3">
        <f>IF($A244="","",SUMIF('3. STOCK IN'!$B:$B,$A244,'3. STOCK IN'!$E:$E))</f>
        <v>56</v>
      </c>
      <c r="E244" s="3">
        <f>IF($A244="","",SUMIF('4. STOCK OUT'!$B:$B,$A244,'4. STOCK OUT'!$E:$E))</f>
        <v>0</v>
      </c>
      <c r="F244" s="3">
        <f t="shared" si="3"/>
        <v>56</v>
      </c>
      <c r="G244" t="str">
        <f>IF($A244="","",IFERROR(IF($F244&lt;=0,"OUT OF STOCK",IF($F244&lt;=VLOOKUP($A244,'2. ITEM MASTER'!$A:$D,4,FALSE),"LOW STOCK","OK")),""))</f>
        <v>OK</v>
      </c>
    </row>
    <row r="245" spans="1:7" x14ac:dyDescent="0.35">
      <c r="A245" t="str">
        <f>IF('2. ITEM MASTER'!A245="","",'2. ITEM MASTER'!A245)</f>
        <v>E-115</v>
      </c>
      <c r="B245" t="str">
        <f>IFERROR(VLOOKUP($A245,'2. ITEM MASTER'!$A:$D,2,FALSE),"")</f>
        <v>CAMERA</v>
      </c>
      <c r="C245" t="str">
        <f>IFERROR(VLOOKUP($A245,'2. ITEM MASTER'!$A:$D,3,FALSE),"")</f>
        <v>Electronics</v>
      </c>
      <c r="D245" s="3">
        <f>IF($A245="","",SUMIF('3. STOCK IN'!$B:$B,$A245,'3. STOCK IN'!$E:$E))</f>
        <v>8</v>
      </c>
      <c r="E245" s="3">
        <f>IF($A245="","",SUMIF('4. STOCK OUT'!$B:$B,$A245,'4. STOCK OUT'!$E:$E))</f>
        <v>0</v>
      </c>
      <c r="F245" s="3">
        <f t="shared" si="3"/>
        <v>8</v>
      </c>
      <c r="G245" t="str">
        <f>IF($A245="","",IFERROR(IF($F245&lt;=0,"OUT OF STOCK",IF($F245&lt;=VLOOKUP($A245,'2. ITEM MASTER'!$A:$D,4,FALSE),"LOW STOCK","OK")),""))</f>
        <v>OK</v>
      </c>
    </row>
    <row r="246" spans="1:7" x14ac:dyDescent="0.35">
      <c r="A246" t="str">
        <f>IF('2. ITEM MASTER'!A246="","",'2. ITEM MASTER'!A246)</f>
        <v>E-116</v>
      </c>
      <c r="B246" t="str">
        <f>IFERROR(VLOOKUP($A246,'2. ITEM MASTER'!$A:$D,2,FALSE),"")</f>
        <v>DVR</v>
      </c>
      <c r="C246" t="str">
        <f>IFERROR(VLOOKUP($A246,'2. ITEM MASTER'!$A:$D,3,FALSE),"")</f>
        <v>Electronics</v>
      </c>
      <c r="D246" s="3">
        <f>IF($A246="","",SUMIF('3. STOCK IN'!$B:$B,$A246,'3. STOCK IN'!$E:$E))</f>
        <v>3</v>
      </c>
      <c r="E246" s="3">
        <f>IF($A246="","",SUMIF('4. STOCK OUT'!$B:$B,$A246,'4. STOCK OUT'!$E:$E))</f>
        <v>0</v>
      </c>
      <c r="F246" s="3">
        <f t="shared" si="3"/>
        <v>3</v>
      </c>
      <c r="G246" t="str">
        <f>IF($A246="","",IFERROR(IF($F246&lt;=0,"OUT OF STOCK",IF($F246&lt;=VLOOKUP($A246,'2. ITEM MASTER'!$A:$D,4,FALSE),"LOW STOCK","OK")),""))</f>
        <v>LOW STOCK</v>
      </c>
    </row>
    <row r="247" spans="1:7" x14ac:dyDescent="0.35">
      <c r="A247" t="str">
        <f>IF('2. ITEM MASTER'!A247="","",'2. ITEM MASTER'!A247)</f>
        <v>E-117</v>
      </c>
      <c r="B247" t="str">
        <f>IFERROR(VLOOKUP($A247,'2. ITEM MASTER'!$A:$D,2,FALSE),"")</f>
        <v>HARD DISK</v>
      </c>
      <c r="C247" t="str">
        <f>IFERROR(VLOOKUP($A247,'2. ITEM MASTER'!$A:$D,3,FALSE),"")</f>
        <v>Electronics</v>
      </c>
      <c r="D247" s="3">
        <f>IF($A247="","",SUMIF('3. STOCK IN'!$B:$B,$A247,'3. STOCK IN'!$E:$E))</f>
        <v>3</v>
      </c>
      <c r="E247" s="3">
        <f>IF($A247="","",SUMIF('4. STOCK OUT'!$B:$B,$A247,'4. STOCK OUT'!$E:$E))</f>
        <v>0</v>
      </c>
      <c r="F247" s="3">
        <f t="shared" si="3"/>
        <v>3</v>
      </c>
      <c r="G247" t="str">
        <f>IF($A247="","",IFERROR(IF($F247&lt;=0,"OUT OF STOCK",IF($F247&lt;=VLOOKUP($A247,'2. ITEM MASTER'!$A:$D,4,FALSE),"LOW STOCK","OK")),""))</f>
        <v>LOW STOCK</v>
      </c>
    </row>
    <row r="248" spans="1:7" x14ac:dyDescent="0.35">
      <c r="A248" t="str">
        <f>IF('2. ITEM MASTER'!A248="","",'2. ITEM MASTER'!A248)</f>
        <v>E-118</v>
      </c>
      <c r="B248" t="str">
        <f>IFERROR(VLOOKUP($A248,'2. ITEM MASTER'!$A:$D,2,FALSE),"")</f>
        <v>CCTV CABLE</v>
      </c>
      <c r="C248" t="str">
        <f>IFERROR(VLOOKUP($A248,'2. ITEM MASTER'!$A:$D,3,FALSE),"")</f>
        <v>Electronics</v>
      </c>
      <c r="D248" s="3">
        <f>IF($A248="","",SUMIF('3. STOCK IN'!$B:$B,$A248,'3. STOCK IN'!$E:$E))</f>
        <v>90</v>
      </c>
      <c r="E248" s="3">
        <f>IF($A248="","",SUMIF('4. STOCK OUT'!$B:$B,$A248,'4. STOCK OUT'!$E:$E))</f>
        <v>0</v>
      </c>
      <c r="F248" s="3">
        <f t="shared" si="3"/>
        <v>90</v>
      </c>
      <c r="G248" t="str">
        <f>IF($A248="","",IFERROR(IF($F248&lt;=0,"OUT OF STOCK",IF($F248&lt;=VLOOKUP($A248,'2. ITEM MASTER'!$A:$D,4,FALSE),"LOW STOCK","OK")),""))</f>
        <v>OK</v>
      </c>
    </row>
    <row r="249" spans="1:7" x14ac:dyDescent="0.35">
      <c r="A249" t="str">
        <f>IF('2. ITEM MASTER'!A249="","",'2. ITEM MASTER'!A249)</f>
        <v>E-119</v>
      </c>
      <c r="B249" t="str">
        <f>IFERROR(VLOOKUP($A249,'2. ITEM MASTER'!$A:$D,2,FALSE),"")</f>
        <v>FOUR WAY PIPE</v>
      </c>
      <c r="C249" t="str">
        <f>IFERROR(VLOOKUP($A249,'2. ITEM MASTER'!$A:$D,3,FALSE),"")</f>
        <v>Electronics</v>
      </c>
      <c r="D249" s="3">
        <f>IF($A249="","",SUMIF('3. STOCK IN'!$B:$B,$A249,'3. STOCK IN'!$E:$E))</f>
        <v>18</v>
      </c>
      <c r="E249" s="3">
        <f>IF($A249="","",SUMIF('4. STOCK OUT'!$B:$B,$A249,'4. STOCK OUT'!$E:$E))</f>
        <v>0</v>
      </c>
      <c r="F249" s="3">
        <f t="shared" si="3"/>
        <v>18</v>
      </c>
      <c r="G249" t="str">
        <f>IF($A249="","",IFERROR(IF($F249&lt;=0,"OUT OF STOCK",IF($F249&lt;=VLOOKUP($A249,'2. ITEM MASTER'!$A:$D,4,FALSE),"LOW STOCK","OK")),""))</f>
        <v>OK</v>
      </c>
    </row>
    <row r="250" spans="1:7" x14ac:dyDescent="0.35">
      <c r="A250" t="str">
        <f>IF('2. ITEM MASTER'!A250="","",'2. ITEM MASTER'!A250)</f>
        <v>E-120</v>
      </c>
      <c r="B250" t="str">
        <f>IFERROR(VLOOKUP($A250,'2. ITEM MASTER'!$A:$D,2,FALSE),"")</f>
        <v>ELBOW</v>
      </c>
      <c r="C250" t="str">
        <f>IFERROR(VLOOKUP($A250,'2. ITEM MASTER'!$A:$D,3,FALSE),"")</f>
        <v>Electronics</v>
      </c>
      <c r="D250" s="3">
        <f>IF($A250="","",SUMIF('3. STOCK IN'!$B:$B,$A250,'3. STOCK IN'!$E:$E))</f>
        <v>90</v>
      </c>
      <c r="E250" s="3">
        <f>IF($A250="","",SUMIF('4. STOCK OUT'!$B:$B,$A250,'4. STOCK OUT'!$E:$E))</f>
        <v>0</v>
      </c>
      <c r="F250" s="3">
        <f t="shared" si="3"/>
        <v>90</v>
      </c>
      <c r="G250" t="str">
        <f>IF($A250="","",IFERROR(IF($F250&lt;=0,"OUT OF STOCK",IF($F250&lt;=VLOOKUP($A250,'2. ITEM MASTER'!$A:$D,4,FALSE),"LOW STOCK","OK")),""))</f>
        <v>OK</v>
      </c>
    </row>
    <row r="251" spans="1:7" x14ac:dyDescent="0.35">
      <c r="A251" t="str">
        <f>IF('2. ITEM MASTER'!A251="","",'2. ITEM MASTER'!A251)</f>
        <v>E-121</v>
      </c>
      <c r="B251" t="str">
        <f>IFERROR(VLOOKUP($A251,'2. ITEM MASTER'!$A:$D,2,FALSE),"")</f>
        <v>TEE</v>
      </c>
      <c r="C251" t="str">
        <f>IFERROR(VLOOKUP($A251,'2. ITEM MASTER'!$A:$D,3,FALSE),"")</f>
        <v>Electronics</v>
      </c>
      <c r="D251" s="3">
        <f>IF($A251="","",SUMIF('3. STOCK IN'!$B:$B,$A251,'3. STOCK IN'!$E:$E))</f>
        <v>37</v>
      </c>
      <c r="E251" s="3">
        <f>IF($A251="","",SUMIF('4. STOCK OUT'!$B:$B,$A251,'4. STOCK OUT'!$E:$E))</f>
        <v>0</v>
      </c>
      <c r="F251" s="3">
        <f t="shared" si="3"/>
        <v>37</v>
      </c>
      <c r="G251" t="str">
        <f>IF($A251="","",IFERROR(IF($F251&lt;=0,"OUT OF STOCK",IF($F251&lt;=VLOOKUP($A251,'2. ITEM MASTER'!$A:$D,4,FALSE),"LOW STOCK","OK")),""))</f>
        <v>OK</v>
      </c>
    </row>
    <row r="252" spans="1:7" x14ac:dyDescent="0.35">
      <c r="A252" t="str">
        <f>IF('2. ITEM MASTER'!A252="","",'2. ITEM MASTER'!A252)</f>
        <v>E-122</v>
      </c>
      <c r="B252" t="str">
        <f>IFERROR(VLOOKUP($A252,'2. ITEM MASTER'!$A:$D,2,FALSE),"")</f>
        <v>RED WIRE 0.5</v>
      </c>
      <c r="C252" t="str">
        <f>IFERROR(VLOOKUP($A252,'2. ITEM MASTER'!$A:$D,3,FALSE),"")</f>
        <v>Electronics</v>
      </c>
      <c r="D252" s="3">
        <f>IF($A252="","",SUMIF('3. STOCK IN'!$B:$B,$A252,'3. STOCK IN'!$E:$E))</f>
        <v>200</v>
      </c>
      <c r="E252" s="3">
        <f>IF($A252="","",SUMIF('4. STOCK OUT'!$B:$B,$A252,'4. STOCK OUT'!$E:$E))</f>
        <v>0</v>
      </c>
      <c r="F252" s="3">
        <f t="shared" si="3"/>
        <v>200</v>
      </c>
      <c r="G252" t="str">
        <f>IF($A252="","",IFERROR(IF($F252&lt;=0,"OUT OF STOCK",IF($F252&lt;=VLOOKUP($A252,'2. ITEM MASTER'!$A:$D,4,FALSE),"LOW STOCK","OK")),""))</f>
        <v>OK</v>
      </c>
    </row>
    <row r="253" spans="1:7" x14ac:dyDescent="0.35">
      <c r="A253" t="str">
        <f>IF('2. ITEM MASTER'!A253="","",'2. ITEM MASTER'!A253)</f>
        <v>E-123</v>
      </c>
      <c r="B253" t="str">
        <f>IFERROR(VLOOKUP($A253,'2. ITEM MASTER'!$A:$D,2,FALSE),"")</f>
        <v>BLACK WIRE 0.6</v>
      </c>
      <c r="C253" t="str">
        <f>IFERROR(VLOOKUP($A253,'2. ITEM MASTER'!$A:$D,3,FALSE),"")</f>
        <v>Electronics</v>
      </c>
      <c r="D253" s="3">
        <f>IF($A253="","",SUMIF('3. STOCK IN'!$B:$B,$A253,'3. STOCK IN'!$E:$E))</f>
        <v>200</v>
      </c>
      <c r="E253" s="3">
        <f>IF($A253="","",SUMIF('4. STOCK OUT'!$B:$B,$A253,'4. STOCK OUT'!$E:$E))</f>
        <v>0</v>
      </c>
      <c r="F253" s="3">
        <f t="shared" si="3"/>
        <v>200</v>
      </c>
      <c r="G253" t="str">
        <f>IF($A253="","",IFERROR(IF($F253&lt;=0,"OUT OF STOCK",IF($F253&lt;=VLOOKUP($A253,'2. ITEM MASTER'!$A:$D,4,FALSE),"LOW STOCK","OK")),""))</f>
        <v>OK</v>
      </c>
    </row>
    <row r="254" spans="1:7" x14ac:dyDescent="0.35">
      <c r="A254" t="str">
        <f>IF('2. ITEM MASTER'!A254="","",'2. ITEM MASTER'!A254)</f>
        <v>E-124</v>
      </c>
      <c r="B254" t="str">
        <f>IFERROR(VLOOKUP($A254,'2. ITEM MASTER'!$A:$D,2,FALSE),"")</f>
        <v>WHITE WIRE 0.7</v>
      </c>
      <c r="C254" t="str">
        <f>IFERROR(VLOOKUP($A254,'2. ITEM MASTER'!$A:$D,3,FALSE),"")</f>
        <v>Electronics</v>
      </c>
      <c r="D254" s="3">
        <f>IF($A254="","",SUMIF('3. STOCK IN'!$B:$B,$A254,'3. STOCK IN'!$E:$E))</f>
        <v>100</v>
      </c>
      <c r="E254" s="3">
        <f>IF($A254="","",SUMIF('4. STOCK OUT'!$B:$B,$A254,'4. STOCK OUT'!$E:$E))</f>
        <v>0</v>
      </c>
      <c r="F254" s="3">
        <f t="shared" si="3"/>
        <v>100</v>
      </c>
      <c r="G254" t="str">
        <f>IF($A254="","",IFERROR(IF($F254&lt;=0,"OUT OF STOCK",IF($F254&lt;=VLOOKUP($A254,'2. ITEM MASTER'!$A:$D,4,FALSE),"LOW STOCK","OK")),""))</f>
        <v>OK</v>
      </c>
    </row>
    <row r="255" spans="1:7" x14ac:dyDescent="0.35">
      <c r="A255" t="str">
        <f>IF('2. ITEM MASTER'!A255="","",'2. ITEM MASTER'!A255)</f>
        <v>E-125</v>
      </c>
      <c r="B255" t="str">
        <f>IFERROR(VLOOKUP($A255,'2. ITEM MASTER'!$A:$D,2,FALSE),"")</f>
        <v>GRAY WIRE 0.8</v>
      </c>
      <c r="C255" t="str">
        <f>IFERROR(VLOOKUP($A255,'2. ITEM MASTER'!$A:$D,3,FALSE),"")</f>
        <v>Electronics</v>
      </c>
      <c r="D255" s="3">
        <f>IF($A255="","",SUMIF('3. STOCK IN'!$B:$B,$A255,'3. STOCK IN'!$E:$E))</f>
        <v>300</v>
      </c>
      <c r="E255" s="3">
        <f>IF($A255="","",SUMIF('4. STOCK OUT'!$B:$B,$A255,'4. STOCK OUT'!$E:$E))</f>
        <v>0</v>
      </c>
      <c r="F255" s="3">
        <f t="shared" si="3"/>
        <v>300</v>
      </c>
      <c r="G255" t="str">
        <f>IF($A255="","",IFERROR(IF($F255&lt;=0,"OUT OF STOCK",IF($F255&lt;=VLOOKUP($A255,'2. ITEM MASTER'!$A:$D,4,FALSE),"LOW STOCK","OK")),""))</f>
        <v>OK</v>
      </c>
    </row>
    <row r="256" spans="1:7" x14ac:dyDescent="0.35">
      <c r="A256" t="str">
        <f>IF('2. ITEM MASTER'!A256="","",'2. ITEM MASTER'!A256)</f>
        <v>E-126</v>
      </c>
      <c r="B256" t="str">
        <f>IFERROR(VLOOKUP($A256,'2. ITEM MASTER'!$A:$D,2,FALSE),"")</f>
        <v>BLUE WIRE 0.9</v>
      </c>
      <c r="C256" t="str">
        <f>IFERROR(VLOOKUP($A256,'2. ITEM MASTER'!$A:$D,3,FALSE),"")</f>
        <v>Electronics</v>
      </c>
      <c r="D256" s="3">
        <f>IF($A256="","",SUMIF('3. STOCK IN'!$B:$B,$A256,'3. STOCK IN'!$E:$E))</f>
        <v>200</v>
      </c>
      <c r="E256" s="3">
        <f>IF($A256="","",SUMIF('4. STOCK OUT'!$B:$B,$A256,'4. STOCK OUT'!$E:$E))</f>
        <v>0</v>
      </c>
      <c r="F256" s="3">
        <f t="shared" si="3"/>
        <v>200</v>
      </c>
      <c r="G256" t="str">
        <f>IF($A256="","",IFERROR(IF($F256&lt;=0,"OUT OF STOCK",IF($F256&lt;=VLOOKUP($A256,'2. ITEM MASTER'!$A:$D,4,FALSE),"LOW STOCK","OK")),""))</f>
        <v>OK</v>
      </c>
    </row>
    <row r="257" spans="1:7" x14ac:dyDescent="0.35">
      <c r="A257" t="str">
        <f>IF('2. ITEM MASTER'!A257="","",'2. ITEM MASTER'!A257)</f>
        <v>E-127</v>
      </c>
      <c r="B257" t="str">
        <f>IFERROR(VLOOKUP($A257,'2. ITEM MASTER'!$A:$D,2,FALSE),"")</f>
        <v>ORANGE WIRE 0.10</v>
      </c>
      <c r="C257" t="str">
        <f>IFERROR(VLOOKUP($A257,'2. ITEM MASTER'!$A:$D,3,FALSE),"")</f>
        <v>Electronics</v>
      </c>
      <c r="D257" s="3">
        <f>IF($A257="","",SUMIF('3. STOCK IN'!$B:$B,$A257,'3. STOCK IN'!$E:$E))</f>
        <v>300</v>
      </c>
      <c r="E257" s="3">
        <f>IF($A257="","",SUMIF('4. STOCK OUT'!$B:$B,$A257,'4. STOCK OUT'!$E:$E))</f>
        <v>0</v>
      </c>
      <c r="F257" s="3">
        <f t="shared" si="3"/>
        <v>300</v>
      </c>
      <c r="G257" t="str">
        <f>IF($A257="","",IFERROR(IF($F257&lt;=0,"OUT OF STOCK",IF($F257&lt;=VLOOKUP($A257,'2. ITEM MASTER'!$A:$D,4,FALSE),"LOW STOCK","OK")),""))</f>
        <v>OK</v>
      </c>
    </row>
    <row r="258" spans="1:7" x14ac:dyDescent="0.35">
      <c r="A258" t="str">
        <f>IF('2. ITEM MASTER'!A258="","",'2. ITEM MASTER'!A258)</f>
        <v>E-128</v>
      </c>
      <c r="B258" t="str">
        <f>IFERROR(VLOOKUP($A258,'2. ITEM MASTER'!$A:$D,2,FALSE),"")</f>
        <v>GREEN  WIRE 0.11</v>
      </c>
      <c r="C258" t="str">
        <f>IFERROR(VLOOKUP($A258,'2. ITEM MASTER'!$A:$D,3,FALSE),"")</f>
        <v>Electronics</v>
      </c>
      <c r="D258" s="3">
        <f>IF($A258="","",SUMIF('3. STOCK IN'!$B:$B,$A258,'3. STOCK IN'!$E:$E))</f>
        <v>300</v>
      </c>
      <c r="E258" s="3">
        <f>IF($A258="","",SUMIF('4. STOCK OUT'!$B:$B,$A258,'4. STOCK OUT'!$E:$E))</f>
        <v>0</v>
      </c>
      <c r="F258" s="3">
        <f t="shared" ref="F258:F321" si="4">IF($A258="","",IFERROR($D258-$E258,0))</f>
        <v>300</v>
      </c>
      <c r="G258" t="str">
        <f>IF($A258="","",IFERROR(IF($F258&lt;=0,"OUT OF STOCK",IF($F258&lt;=VLOOKUP($A258,'2. ITEM MASTER'!$A:$D,4,FALSE),"LOW STOCK","OK")),""))</f>
        <v>OK</v>
      </c>
    </row>
    <row r="259" spans="1:7" x14ac:dyDescent="0.35">
      <c r="A259" t="str">
        <f>IF('2. ITEM MASTER'!A259="","",'2. ITEM MASTER'!A259)</f>
        <v>E-129</v>
      </c>
      <c r="B259" t="str">
        <f>IFERROR(VLOOKUP($A259,'2. ITEM MASTER'!$A:$D,2,FALSE),"")</f>
        <v>BROWN  WIRE 0.11</v>
      </c>
      <c r="C259" t="str">
        <f>IFERROR(VLOOKUP($A259,'2. ITEM MASTER'!$A:$D,3,FALSE),"")</f>
        <v>Electronics</v>
      </c>
      <c r="D259" s="3">
        <f>IF($A259="","",SUMIF('3. STOCK IN'!$B:$B,$A259,'3. STOCK IN'!$E:$E))</f>
        <v>300</v>
      </c>
      <c r="E259" s="3">
        <f>IF($A259="","",SUMIF('4. STOCK OUT'!$B:$B,$A259,'4. STOCK OUT'!$E:$E))</f>
        <v>0</v>
      </c>
      <c r="F259" s="3">
        <f t="shared" si="4"/>
        <v>300</v>
      </c>
      <c r="G259" t="str">
        <f>IF($A259="","",IFERROR(IF($F259&lt;=0,"OUT OF STOCK",IF($F259&lt;=VLOOKUP($A259,'2. ITEM MASTER'!$A:$D,4,FALSE),"LOW STOCK","OK")),""))</f>
        <v>OK</v>
      </c>
    </row>
    <row r="260" spans="1:7" x14ac:dyDescent="0.35">
      <c r="A260" t="str">
        <f>IF('2. ITEM MASTER'!A260="","",'2. ITEM MASTER'!A260)</f>
        <v>E-130</v>
      </c>
      <c r="B260" t="str">
        <f>IFERROR(VLOOKUP($A260,'2. ITEM MASTER'!$A:$D,2,FALSE),"")</f>
        <v>YELLOW  WIRE 0.11</v>
      </c>
      <c r="C260" t="str">
        <f>IFERROR(VLOOKUP($A260,'2. ITEM MASTER'!$A:$D,3,FALSE),"")</f>
        <v>Electronics</v>
      </c>
      <c r="D260" s="3">
        <f>IF($A260="","",SUMIF('3. STOCK IN'!$B:$B,$A260,'3. STOCK IN'!$E:$E))</f>
        <v>200</v>
      </c>
      <c r="E260" s="3">
        <f>IF($A260="","",SUMIF('4. STOCK OUT'!$B:$B,$A260,'4. STOCK OUT'!$E:$E))</f>
        <v>0</v>
      </c>
      <c r="F260" s="3">
        <f t="shared" si="4"/>
        <v>200</v>
      </c>
      <c r="G260" t="str">
        <f>IF($A260="","",IFERROR(IF($F260&lt;=0,"OUT OF STOCK",IF($F260&lt;=VLOOKUP($A260,'2. ITEM MASTER'!$A:$D,4,FALSE),"LOW STOCK","OK")),""))</f>
        <v>OK</v>
      </c>
    </row>
    <row r="261" spans="1:7" x14ac:dyDescent="0.35">
      <c r="A261" t="str">
        <f>IF('2. ITEM MASTER'!A261="","",'2. ITEM MASTER'!A261)</f>
        <v>E-131</v>
      </c>
      <c r="B261" t="str">
        <f>IFERROR(VLOOKUP($A261,'2. ITEM MASTER'!$A:$D,2,FALSE),"")</f>
        <v>2 CORE -BLACK</v>
      </c>
      <c r="C261" t="str">
        <f>IFERROR(VLOOKUP($A261,'2. ITEM MASTER'!$A:$D,3,FALSE),"")</f>
        <v>Electronics</v>
      </c>
      <c r="D261" s="3">
        <f>IF($A261="","",SUMIF('3. STOCK IN'!$B:$B,$A261,'3. STOCK IN'!$E:$E))</f>
        <v>100</v>
      </c>
      <c r="E261" s="3">
        <f>IF($A261="","",SUMIF('4. STOCK OUT'!$B:$B,$A261,'4. STOCK OUT'!$E:$E))</f>
        <v>0</v>
      </c>
      <c r="F261" s="3">
        <f t="shared" si="4"/>
        <v>100</v>
      </c>
      <c r="G261" t="str">
        <f>IF($A261="","",IFERROR(IF($F261&lt;=0,"OUT OF STOCK",IF($F261&lt;=VLOOKUP($A261,'2. ITEM MASTER'!$A:$D,4,FALSE),"LOW STOCK","OK")),""))</f>
        <v>OK</v>
      </c>
    </row>
    <row r="262" spans="1:7" x14ac:dyDescent="0.35">
      <c r="A262" t="str">
        <f>IF('2. ITEM MASTER'!A262="","",'2. ITEM MASTER'!A262)</f>
        <v>E-132</v>
      </c>
      <c r="B262" t="str">
        <f>IFERROR(VLOOKUP($A262,'2. ITEM MASTER'!$A:$D,2,FALSE),"")</f>
        <v>3 CORE -BLACK</v>
      </c>
      <c r="C262" t="str">
        <f>IFERROR(VLOOKUP($A262,'2. ITEM MASTER'!$A:$D,3,FALSE),"")</f>
        <v>Electronics</v>
      </c>
      <c r="D262" s="3">
        <f>IF($A262="","",SUMIF('3. STOCK IN'!$B:$B,$A262,'3. STOCK IN'!$E:$E))</f>
        <v>200</v>
      </c>
      <c r="E262" s="3">
        <f>IF($A262="","",SUMIF('4. STOCK OUT'!$B:$B,$A262,'4. STOCK OUT'!$E:$E))</f>
        <v>0</v>
      </c>
      <c r="F262" s="3">
        <f t="shared" si="4"/>
        <v>200</v>
      </c>
      <c r="G262" t="str">
        <f>IF($A262="","",IFERROR(IF($F262&lt;=0,"OUT OF STOCK",IF($F262&lt;=VLOOKUP($A262,'2. ITEM MASTER'!$A:$D,4,FALSE),"LOW STOCK","OK")),""))</f>
        <v>OK</v>
      </c>
    </row>
    <row r="263" spans="1:7" x14ac:dyDescent="0.35">
      <c r="A263" t="str">
        <f>IF('2. ITEM MASTER'!A263="","",'2. ITEM MASTER'!A263)</f>
        <v>E-133</v>
      </c>
      <c r="B263" t="str">
        <f>IFERROR(VLOOKUP($A263,'2. ITEM MASTER'!$A:$D,2,FALSE),"")</f>
        <v>3 CORE -GRAY</v>
      </c>
      <c r="C263" t="str">
        <f>IFERROR(VLOOKUP($A263,'2. ITEM MASTER'!$A:$D,3,FALSE),"")</f>
        <v>Electronics</v>
      </c>
      <c r="D263" s="3">
        <f>IF($A263="","",SUMIF('3. STOCK IN'!$B:$B,$A263,'3. STOCK IN'!$E:$E))</f>
        <v>300</v>
      </c>
      <c r="E263" s="3">
        <f>IF($A263="","",SUMIF('4. STOCK OUT'!$B:$B,$A263,'4. STOCK OUT'!$E:$E))</f>
        <v>0</v>
      </c>
      <c r="F263" s="3">
        <f t="shared" si="4"/>
        <v>300</v>
      </c>
      <c r="G263" t="str">
        <f>IF($A263="","",IFERROR(IF($F263&lt;=0,"OUT OF STOCK",IF($F263&lt;=VLOOKUP($A263,'2. ITEM MASTER'!$A:$D,4,FALSE),"LOW STOCK","OK")),""))</f>
        <v>OK</v>
      </c>
    </row>
    <row r="264" spans="1:7" x14ac:dyDescent="0.35">
      <c r="A264" t="str">
        <f>IF('2. ITEM MASTER'!A264="","",'2. ITEM MASTER'!A264)</f>
        <v>E-134</v>
      </c>
      <c r="B264" t="str">
        <f>IFERROR(VLOOKUP($A264,'2. ITEM MASTER'!$A:$D,2,FALSE),"")</f>
        <v>3 CORE -BLACK 1.5sq mm.</v>
      </c>
      <c r="C264" t="str">
        <f>IFERROR(VLOOKUP($A264,'2. ITEM MASTER'!$A:$D,3,FALSE),"")</f>
        <v>Electronics</v>
      </c>
      <c r="D264" s="3">
        <f>IF($A264="","",SUMIF('3. STOCK IN'!$B:$B,$A264,'3. STOCK IN'!$E:$E))</f>
        <v>0</v>
      </c>
      <c r="E264" s="3">
        <f>IF($A264="","",SUMIF('4. STOCK OUT'!$B:$B,$A264,'4. STOCK OUT'!$E:$E))</f>
        <v>0</v>
      </c>
      <c r="F264" s="3">
        <f t="shared" si="4"/>
        <v>0</v>
      </c>
      <c r="G264" t="str">
        <f>IF($A264="","",IFERROR(IF($F264&lt;=0,"OUT OF STOCK",IF($F264&lt;=VLOOKUP($A264,'2. ITEM MASTER'!$A:$D,4,FALSE),"LOW STOCK","OK")),""))</f>
        <v>OUT OF STOCK</v>
      </c>
    </row>
    <row r="265" spans="1:7" x14ac:dyDescent="0.35">
      <c r="A265" t="str">
        <f>IF('2. ITEM MASTER'!A265="","",'2. ITEM MASTER'!A265)</f>
        <v>E-135</v>
      </c>
      <c r="B265" t="str">
        <f>IFERROR(VLOOKUP($A265,'2. ITEM MASTER'!$A:$D,2,FALSE),"")</f>
        <v>EMERGENCY BUTTON</v>
      </c>
      <c r="C265" t="str">
        <f>IFERROR(VLOOKUP($A265,'2. ITEM MASTER'!$A:$D,3,FALSE),"")</f>
        <v>Electronics</v>
      </c>
      <c r="D265" s="3">
        <f>IF($A265="","",SUMIF('3. STOCK IN'!$B:$B,$A265,'3. STOCK IN'!$E:$E))</f>
        <v>38</v>
      </c>
      <c r="E265" s="3">
        <f>IF($A265="","",SUMIF('4. STOCK OUT'!$B:$B,$A265,'4. STOCK OUT'!$E:$E))</f>
        <v>0</v>
      </c>
      <c r="F265" s="3">
        <f t="shared" si="4"/>
        <v>38</v>
      </c>
      <c r="G265" t="str">
        <f>IF($A265="","",IFERROR(IF($F265&lt;=0,"OUT OF STOCK",IF($F265&lt;=VLOOKUP($A265,'2. ITEM MASTER'!$A:$D,4,FALSE),"LOW STOCK","OK")),""))</f>
        <v>OK</v>
      </c>
    </row>
    <row r="266" spans="1:7" x14ac:dyDescent="0.35">
      <c r="A266" t="str">
        <f>IF('2. ITEM MASTER'!A266="","",'2. ITEM MASTER'!A266)</f>
        <v>M-062</v>
      </c>
      <c r="B266" t="str">
        <f>IFERROR(VLOOKUP($A266,'2. ITEM MASTER'!$A:$D,2,FALSE),"")</f>
        <v>Screw</v>
      </c>
      <c r="C266" t="str">
        <f>IFERROR(VLOOKUP($A266,'2. ITEM MASTER'!$A:$D,3,FALSE),"")</f>
        <v>Mechanical</v>
      </c>
      <c r="D266" s="3">
        <f>IF($A266="","",SUMIF('3. STOCK IN'!$B:$B,$A266,'3. STOCK IN'!$E:$E))</f>
        <v>100</v>
      </c>
      <c r="E266" s="3">
        <f>IF($A266="","",SUMIF('4. STOCK OUT'!$B:$B,$A266,'4. STOCK OUT'!$E:$E))</f>
        <v>0</v>
      </c>
      <c r="F266" s="3">
        <f t="shared" si="4"/>
        <v>100</v>
      </c>
      <c r="G266" t="str">
        <f>IF($A266="","",IFERROR(IF($F266&lt;=0,"OUT OF STOCK",IF($F266&lt;=VLOOKUP($A266,'2. ITEM MASTER'!$A:$D,4,FALSE),"LOW STOCK","OK")),""))</f>
        <v>OK</v>
      </c>
    </row>
    <row r="267" spans="1:7" x14ac:dyDescent="0.35">
      <c r="A267" t="str">
        <f>IF('2. ITEM MASTER'!A267="","",'2. ITEM MASTER'!A267)</f>
        <v/>
      </c>
      <c r="B267" t="str">
        <f>IFERROR(VLOOKUP($A267,'2. ITEM MASTER'!$A:$D,2,FALSE),"")</f>
        <v/>
      </c>
      <c r="C267" t="str">
        <f>IFERROR(VLOOKUP($A267,'2. ITEM MASTER'!$A:$D,3,FALSE),"")</f>
        <v/>
      </c>
      <c r="D267" s="3" t="str">
        <f>IF($A267="","",SUMIF('3. STOCK IN'!$B:$B,$A267,'3. STOCK IN'!$E:$E))</f>
        <v/>
      </c>
      <c r="E267" s="3" t="str">
        <f>IF($A267="","",SUMIF('4. STOCK OUT'!$B:$B,$A267,'4. STOCK OUT'!$E:$E))</f>
        <v/>
      </c>
      <c r="F267" s="3" t="str">
        <f t="shared" si="4"/>
        <v/>
      </c>
      <c r="G267" t="str">
        <f>IF($A267="","",IFERROR(IF($F267&lt;=0,"OUT OF STOCK",IF($F267&lt;=VLOOKUP($A267,'2. ITEM MASTER'!$A:$D,4,FALSE),"LOW STOCK","OK")),""))</f>
        <v/>
      </c>
    </row>
    <row r="268" spans="1:7" x14ac:dyDescent="0.35">
      <c r="A268" t="str">
        <f>IF('2. ITEM MASTER'!A268="","",'2. ITEM MASTER'!A268)</f>
        <v/>
      </c>
      <c r="B268" t="str">
        <f>IFERROR(VLOOKUP($A268,'2. ITEM MASTER'!$A:$D,2,FALSE),"")</f>
        <v/>
      </c>
      <c r="C268" t="str">
        <f>IFERROR(VLOOKUP($A268,'2. ITEM MASTER'!$A:$D,3,FALSE),"")</f>
        <v/>
      </c>
      <c r="D268" s="3" t="str">
        <f>IF($A268="","",SUMIF('3. STOCK IN'!$B:$B,$A268,'3. STOCK IN'!$E:$E))</f>
        <v/>
      </c>
      <c r="E268" s="3" t="str">
        <f>IF($A268="","",SUMIF('4. STOCK OUT'!$B:$B,$A268,'4. STOCK OUT'!$E:$E))</f>
        <v/>
      </c>
      <c r="F268" s="3" t="str">
        <f t="shared" si="4"/>
        <v/>
      </c>
      <c r="G268" t="str">
        <f>IF($A268="","",IFERROR(IF($F268&lt;=0,"OUT OF STOCK",IF($F268&lt;=VLOOKUP($A268,'2. ITEM MASTER'!$A:$D,4,FALSE),"LOW STOCK","OK")),""))</f>
        <v/>
      </c>
    </row>
    <row r="269" spans="1:7" x14ac:dyDescent="0.35">
      <c r="A269" t="str">
        <f>IF('2. ITEM MASTER'!A269="","",'2. ITEM MASTER'!A269)</f>
        <v/>
      </c>
      <c r="B269" t="str">
        <f>IFERROR(VLOOKUP($A269,'2. ITEM MASTER'!$A:$D,2,FALSE),"")</f>
        <v/>
      </c>
      <c r="C269" t="str">
        <f>IFERROR(VLOOKUP($A269,'2. ITEM MASTER'!$A:$D,3,FALSE),"")</f>
        <v/>
      </c>
      <c r="D269" s="3" t="str">
        <f>IF($A269="","",SUMIF('3. STOCK IN'!$B:$B,$A269,'3. STOCK IN'!$E:$E))</f>
        <v/>
      </c>
      <c r="E269" s="3" t="str">
        <f>IF($A269="","",SUMIF('4. STOCK OUT'!$B:$B,$A269,'4. STOCK OUT'!$E:$E))</f>
        <v/>
      </c>
      <c r="F269" s="3" t="str">
        <f t="shared" si="4"/>
        <v/>
      </c>
      <c r="G269" t="str">
        <f>IF($A269="","",IFERROR(IF($F269&lt;=0,"OUT OF STOCK",IF($F269&lt;=VLOOKUP($A269,'2. ITEM MASTER'!$A:$D,4,FALSE),"LOW STOCK","OK")),""))</f>
        <v/>
      </c>
    </row>
    <row r="270" spans="1:7" x14ac:dyDescent="0.35">
      <c r="A270" t="str">
        <f>IF('2. ITEM MASTER'!A270="","",'2. ITEM MASTER'!A270)</f>
        <v/>
      </c>
      <c r="B270" t="str">
        <f>IFERROR(VLOOKUP($A270,'2. ITEM MASTER'!$A:$D,2,FALSE),"")</f>
        <v/>
      </c>
      <c r="C270" t="str">
        <f>IFERROR(VLOOKUP($A270,'2. ITEM MASTER'!$A:$D,3,FALSE),"")</f>
        <v/>
      </c>
      <c r="D270" s="3" t="str">
        <f>IF($A270="","",SUMIF('3. STOCK IN'!$B:$B,$A270,'3. STOCK IN'!$E:$E))</f>
        <v/>
      </c>
      <c r="E270" s="3" t="str">
        <f>IF($A270="","",SUMIF('4. STOCK OUT'!$B:$B,$A270,'4. STOCK OUT'!$E:$E))</f>
        <v/>
      </c>
      <c r="F270" s="3" t="str">
        <f t="shared" si="4"/>
        <v/>
      </c>
      <c r="G270" t="str">
        <f>IF($A270="","",IFERROR(IF($F270&lt;=0,"OUT OF STOCK",IF($F270&lt;=VLOOKUP($A270,'2. ITEM MASTER'!$A:$D,4,FALSE),"LOW STOCK","OK")),""))</f>
        <v/>
      </c>
    </row>
    <row r="271" spans="1:7" x14ac:dyDescent="0.35">
      <c r="A271" t="str">
        <f>IF('2. ITEM MASTER'!A271="","",'2. ITEM MASTER'!A271)</f>
        <v/>
      </c>
      <c r="B271" t="str">
        <f>IFERROR(VLOOKUP($A271,'2. ITEM MASTER'!$A:$D,2,FALSE),"")</f>
        <v/>
      </c>
      <c r="C271" t="str">
        <f>IFERROR(VLOOKUP($A271,'2. ITEM MASTER'!$A:$D,3,FALSE),"")</f>
        <v/>
      </c>
      <c r="D271" s="3" t="str">
        <f>IF($A271="","",SUMIF('3. STOCK IN'!$B:$B,$A271,'3. STOCK IN'!$E:$E))</f>
        <v/>
      </c>
      <c r="E271" s="3" t="str">
        <f>IF($A271="","",SUMIF('4. STOCK OUT'!$B:$B,$A271,'4. STOCK OUT'!$E:$E))</f>
        <v/>
      </c>
      <c r="F271" s="3" t="str">
        <f t="shared" si="4"/>
        <v/>
      </c>
      <c r="G271" t="str">
        <f>IF($A271="","",IFERROR(IF($F271&lt;=0,"OUT OF STOCK",IF($F271&lt;=VLOOKUP($A271,'2. ITEM MASTER'!$A:$D,4,FALSE),"LOW STOCK","OK")),""))</f>
        <v/>
      </c>
    </row>
    <row r="272" spans="1:7" x14ac:dyDescent="0.35">
      <c r="A272" t="str">
        <f>IF('2. ITEM MASTER'!A272="","",'2. ITEM MASTER'!A272)</f>
        <v/>
      </c>
      <c r="B272" t="str">
        <f>IFERROR(VLOOKUP($A272,'2. ITEM MASTER'!$A:$D,2,FALSE),"")</f>
        <v/>
      </c>
      <c r="C272" t="str">
        <f>IFERROR(VLOOKUP($A272,'2. ITEM MASTER'!$A:$D,3,FALSE),"")</f>
        <v/>
      </c>
      <c r="D272" s="3" t="str">
        <f>IF($A272="","",SUMIF('3. STOCK IN'!$B:$B,$A272,'3. STOCK IN'!$E:$E))</f>
        <v/>
      </c>
      <c r="E272" s="3" t="str">
        <f>IF($A272="","",SUMIF('4. STOCK OUT'!$B:$B,$A272,'4. STOCK OUT'!$E:$E))</f>
        <v/>
      </c>
      <c r="F272" s="3" t="str">
        <f t="shared" si="4"/>
        <v/>
      </c>
      <c r="G272" t="str">
        <f>IF($A272="","",IFERROR(IF($F272&lt;=0,"OUT OF STOCK",IF($F272&lt;=VLOOKUP($A272,'2. ITEM MASTER'!$A:$D,4,FALSE),"LOW STOCK","OK")),""))</f>
        <v/>
      </c>
    </row>
    <row r="273" spans="1:7" x14ac:dyDescent="0.35">
      <c r="A273" t="str">
        <f>IF('2. ITEM MASTER'!A273="","",'2. ITEM MASTER'!A273)</f>
        <v/>
      </c>
      <c r="B273" t="str">
        <f>IFERROR(VLOOKUP($A273,'2. ITEM MASTER'!$A:$D,2,FALSE),"")</f>
        <v/>
      </c>
      <c r="C273" t="str">
        <f>IFERROR(VLOOKUP($A273,'2. ITEM MASTER'!$A:$D,3,FALSE),"")</f>
        <v/>
      </c>
      <c r="D273" s="3" t="str">
        <f>IF($A273="","",SUMIF('3. STOCK IN'!$B:$B,$A273,'3. STOCK IN'!$E:$E))</f>
        <v/>
      </c>
      <c r="E273" s="3" t="str">
        <f>IF($A273="","",SUMIF('4. STOCK OUT'!$B:$B,$A273,'4. STOCK OUT'!$E:$E))</f>
        <v/>
      </c>
      <c r="F273" s="3" t="str">
        <f t="shared" si="4"/>
        <v/>
      </c>
      <c r="G273" t="str">
        <f>IF($A273="","",IFERROR(IF($F273&lt;=0,"OUT OF STOCK",IF($F273&lt;=VLOOKUP($A273,'2. ITEM MASTER'!$A:$D,4,FALSE),"LOW STOCK","OK")),""))</f>
        <v/>
      </c>
    </row>
    <row r="274" spans="1:7" x14ac:dyDescent="0.35">
      <c r="A274" t="str">
        <f>IF('2. ITEM MASTER'!A274="","",'2. ITEM MASTER'!A274)</f>
        <v/>
      </c>
      <c r="B274" t="str">
        <f>IFERROR(VLOOKUP($A274,'2. ITEM MASTER'!$A:$D,2,FALSE),"")</f>
        <v/>
      </c>
      <c r="C274" t="str">
        <f>IFERROR(VLOOKUP($A274,'2. ITEM MASTER'!$A:$D,3,FALSE),"")</f>
        <v/>
      </c>
      <c r="D274" s="3" t="str">
        <f>IF($A274="","",SUMIF('3. STOCK IN'!$B:$B,$A274,'3. STOCK IN'!$E:$E))</f>
        <v/>
      </c>
      <c r="E274" s="3" t="str">
        <f>IF($A274="","",SUMIF('4. STOCK OUT'!$B:$B,$A274,'4. STOCK OUT'!$E:$E))</f>
        <v/>
      </c>
      <c r="F274" s="3" t="str">
        <f t="shared" si="4"/>
        <v/>
      </c>
      <c r="G274" t="str">
        <f>IF($A274="","",IFERROR(IF($F274&lt;=0,"OUT OF STOCK",IF($F274&lt;=VLOOKUP($A274,'2. ITEM MASTER'!$A:$D,4,FALSE),"LOW STOCK","OK")),""))</f>
        <v/>
      </c>
    </row>
    <row r="275" spans="1:7" x14ac:dyDescent="0.35">
      <c r="A275" t="str">
        <f>IF('2. ITEM MASTER'!A275="","",'2. ITEM MASTER'!A275)</f>
        <v/>
      </c>
      <c r="B275" t="str">
        <f>IFERROR(VLOOKUP($A275,'2. ITEM MASTER'!$A:$D,2,FALSE),"")</f>
        <v/>
      </c>
      <c r="C275" t="str">
        <f>IFERROR(VLOOKUP($A275,'2. ITEM MASTER'!$A:$D,3,FALSE),"")</f>
        <v/>
      </c>
      <c r="D275" s="3" t="str">
        <f>IF($A275="","",SUMIF('3. STOCK IN'!$B:$B,$A275,'3. STOCK IN'!$E:$E))</f>
        <v/>
      </c>
      <c r="E275" s="3" t="str">
        <f>IF($A275="","",SUMIF('4. STOCK OUT'!$B:$B,$A275,'4. STOCK OUT'!$E:$E))</f>
        <v/>
      </c>
      <c r="F275" s="3" t="str">
        <f t="shared" si="4"/>
        <v/>
      </c>
      <c r="G275" t="str">
        <f>IF($A275="","",IFERROR(IF($F275&lt;=0,"OUT OF STOCK",IF($F275&lt;=VLOOKUP($A275,'2. ITEM MASTER'!$A:$D,4,FALSE),"LOW STOCK","OK")),""))</f>
        <v/>
      </c>
    </row>
    <row r="276" spans="1:7" x14ac:dyDescent="0.35">
      <c r="A276" t="str">
        <f>IF('2. ITEM MASTER'!A276="","",'2. ITEM MASTER'!A276)</f>
        <v/>
      </c>
      <c r="B276" t="str">
        <f>IFERROR(VLOOKUP($A276,'2. ITEM MASTER'!$A:$D,2,FALSE),"")</f>
        <v/>
      </c>
      <c r="C276" t="str">
        <f>IFERROR(VLOOKUP($A276,'2. ITEM MASTER'!$A:$D,3,FALSE),"")</f>
        <v/>
      </c>
      <c r="D276" s="3" t="str">
        <f>IF($A276="","",SUMIF('3. STOCK IN'!$B:$B,$A276,'3. STOCK IN'!$E:$E))</f>
        <v/>
      </c>
      <c r="E276" s="3" t="str">
        <f>IF($A276="","",SUMIF('4. STOCK OUT'!$B:$B,$A276,'4. STOCK OUT'!$E:$E))</f>
        <v/>
      </c>
      <c r="F276" s="3" t="str">
        <f t="shared" si="4"/>
        <v/>
      </c>
      <c r="G276" t="str">
        <f>IF($A276="","",IFERROR(IF($F276&lt;=0,"OUT OF STOCK",IF($F276&lt;=VLOOKUP($A276,'2. ITEM MASTER'!$A:$D,4,FALSE),"LOW STOCK","OK")),""))</f>
        <v/>
      </c>
    </row>
    <row r="277" spans="1:7" x14ac:dyDescent="0.35">
      <c r="A277" t="str">
        <f>IF('2. ITEM MASTER'!A277="","",'2. ITEM MASTER'!A277)</f>
        <v/>
      </c>
      <c r="B277" t="str">
        <f>IFERROR(VLOOKUP($A277,'2. ITEM MASTER'!$A:$D,2,FALSE),"")</f>
        <v/>
      </c>
      <c r="C277" t="str">
        <f>IFERROR(VLOOKUP($A277,'2. ITEM MASTER'!$A:$D,3,FALSE),"")</f>
        <v/>
      </c>
      <c r="D277" s="3" t="str">
        <f>IF($A277="","",SUMIF('3. STOCK IN'!$B:$B,$A277,'3. STOCK IN'!$E:$E))</f>
        <v/>
      </c>
      <c r="E277" s="3" t="str">
        <f>IF($A277="","",SUMIF('4. STOCK OUT'!$B:$B,$A277,'4. STOCK OUT'!$E:$E))</f>
        <v/>
      </c>
      <c r="F277" s="3" t="str">
        <f t="shared" si="4"/>
        <v/>
      </c>
      <c r="G277" t="str">
        <f>IF($A277="","",IFERROR(IF($F277&lt;=0,"OUT OF STOCK",IF($F277&lt;=VLOOKUP($A277,'2. ITEM MASTER'!$A:$D,4,FALSE),"LOW STOCK","OK")),""))</f>
        <v/>
      </c>
    </row>
    <row r="278" spans="1:7" x14ac:dyDescent="0.35">
      <c r="A278" t="str">
        <f>IF('2. ITEM MASTER'!A278="","",'2. ITEM MASTER'!A278)</f>
        <v/>
      </c>
      <c r="B278" t="str">
        <f>IFERROR(VLOOKUP($A278,'2. ITEM MASTER'!$A:$D,2,FALSE),"")</f>
        <v/>
      </c>
      <c r="C278" t="str">
        <f>IFERROR(VLOOKUP($A278,'2. ITEM MASTER'!$A:$D,3,FALSE),"")</f>
        <v/>
      </c>
      <c r="D278" s="3" t="str">
        <f>IF($A278="","",SUMIF('3. STOCK IN'!$B:$B,$A278,'3. STOCK IN'!$E:$E))</f>
        <v/>
      </c>
      <c r="E278" s="3" t="str">
        <f>IF($A278="","",SUMIF('4. STOCK OUT'!$B:$B,$A278,'4. STOCK OUT'!$E:$E))</f>
        <v/>
      </c>
      <c r="F278" s="3" t="str">
        <f t="shared" si="4"/>
        <v/>
      </c>
      <c r="G278" t="str">
        <f>IF($A278="","",IFERROR(IF($F278&lt;=0,"OUT OF STOCK",IF($F278&lt;=VLOOKUP($A278,'2. ITEM MASTER'!$A:$D,4,FALSE),"LOW STOCK","OK")),""))</f>
        <v/>
      </c>
    </row>
    <row r="279" spans="1:7" x14ac:dyDescent="0.35">
      <c r="A279" t="str">
        <f>IF('2. ITEM MASTER'!A279="","",'2. ITEM MASTER'!A279)</f>
        <v/>
      </c>
      <c r="B279" t="str">
        <f>IFERROR(VLOOKUP($A279,'2. ITEM MASTER'!$A:$D,2,FALSE),"")</f>
        <v/>
      </c>
      <c r="C279" t="str">
        <f>IFERROR(VLOOKUP($A279,'2. ITEM MASTER'!$A:$D,3,FALSE),"")</f>
        <v/>
      </c>
      <c r="D279" s="3" t="str">
        <f>IF($A279="","",SUMIF('3. STOCK IN'!$B:$B,$A279,'3. STOCK IN'!$E:$E))</f>
        <v/>
      </c>
      <c r="E279" s="3" t="str">
        <f>IF($A279="","",SUMIF('4. STOCK OUT'!$B:$B,$A279,'4. STOCK OUT'!$E:$E))</f>
        <v/>
      </c>
      <c r="F279" s="3" t="str">
        <f t="shared" si="4"/>
        <v/>
      </c>
      <c r="G279" t="str">
        <f>IF($A279="","",IFERROR(IF($F279&lt;=0,"OUT OF STOCK",IF($F279&lt;=VLOOKUP($A279,'2. ITEM MASTER'!$A:$D,4,FALSE),"LOW STOCK","OK")),""))</f>
        <v/>
      </c>
    </row>
    <row r="280" spans="1:7" x14ac:dyDescent="0.35">
      <c r="A280" t="str">
        <f>IF('2. ITEM MASTER'!A280="","",'2. ITEM MASTER'!A280)</f>
        <v/>
      </c>
      <c r="B280" t="str">
        <f>IFERROR(VLOOKUP($A280,'2. ITEM MASTER'!$A:$D,2,FALSE),"")</f>
        <v/>
      </c>
      <c r="C280" t="str">
        <f>IFERROR(VLOOKUP($A280,'2. ITEM MASTER'!$A:$D,3,FALSE),"")</f>
        <v/>
      </c>
      <c r="D280" s="3" t="str">
        <f>IF($A280="","",SUMIF('3. STOCK IN'!$B:$B,$A280,'3. STOCK IN'!$E:$E))</f>
        <v/>
      </c>
      <c r="E280" s="3" t="str">
        <f>IF($A280="","",SUMIF('4. STOCK OUT'!$B:$B,$A280,'4. STOCK OUT'!$E:$E))</f>
        <v/>
      </c>
      <c r="F280" s="3" t="str">
        <f t="shared" si="4"/>
        <v/>
      </c>
      <c r="G280" t="str">
        <f>IF($A280="","",IFERROR(IF($F280&lt;=0,"OUT OF STOCK",IF($F280&lt;=VLOOKUP($A280,'2. ITEM MASTER'!$A:$D,4,FALSE),"LOW STOCK","OK")),""))</f>
        <v/>
      </c>
    </row>
    <row r="281" spans="1:7" x14ac:dyDescent="0.35">
      <c r="A281" t="str">
        <f>IF('2. ITEM MASTER'!A281="","",'2. ITEM MASTER'!A281)</f>
        <v/>
      </c>
      <c r="B281" t="str">
        <f>IFERROR(VLOOKUP($A281,'2. ITEM MASTER'!$A:$D,2,FALSE),"")</f>
        <v/>
      </c>
      <c r="C281" t="str">
        <f>IFERROR(VLOOKUP($A281,'2. ITEM MASTER'!$A:$D,3,FALSE),"")</f>
        <v/>
      </c>
      <c r="D281" s="3" t="str">
        <f>IF($A281="","",SUMIF('3. STOCK IN'!$B:$B,$A281,'3. STOCK IN'!$E:$E))</f>
        <v/>
      </c>
      <c r="E281" s="3" t="str">
        <f>IF($A281="","",SUMIF('4. STOCK OUT'!$B:$B,$A281,'4. STOCK OUT'!$E:$E))</f>
        <v/>
      </c>
      <c r="F281" s="3" t="str">
        <f t="shared" si="4"/>
        <v/>
      </c>
      <c r="G281" t="str">
        <f>IF($A281="","",IFERROR(IF($F281&lt;=0,"OUT OF STOCK",IF($F281&lt;=VLOOKUP($A281,'2. ITEM MASTER'!$A:$D,4,FALSE),"LOW STOCK","OK")),""))</f>
        <v/>
      </c>
    </row>
    <row r="282" spans="1:7" x14ac:dyDescent="0.35">
      <c r="A282" t="str">
        <f>IF('2. ITEM MASTER'!A282="","",'2. ITEM MASTER'!A282)</f>
        <v/>
      </c>
      <c r="B282" t="str">
        <f>IFERROR(VLOOKUP($A282,'2. ITEM MASTER'!$A:$D,2,FALSE),"")</f>
        <v/>
      </c>
      <c r="C282" t="str">
        <f>IFERROR(VLOOKUP($A282,'2. ITEM MASTER'!$A:$D,3,FALSE),"")</f>
        <v/>
      </c>
      <c r="D282" s="3" t="str">
        <f>IF($A282="","",SUMIF('3. STOCK IN'!$B:$B,$A282,'3. STOCK IN'!$E:$E))</f>
        <v/>
      </c>
      <c r="E282" s="3" t="str">
        <f>IF($A282="","",SUMIF('4. STOCK OUT'!$B:$B,$A282,'4. STOCK OUT'!$E:$E))</f>
        <v/>
      </c>
      <c r="F282" s="3" t="str">
        <f t="shared" si="4"/>
        <v/>
      </c>
      <c r="G282" t="str">
        <f>IF($A282="","",IFERROR(IF($F282&lt;=0,"OUT OF STOCK",IF($F282&lt;=VLOOKUP($A282,'2. ITEM MASTER'!$A:$D,4,FALSE),"LOW STOCK","OK")),""))</f>
        <v/>
      </c>
    </row>
    <row r="283" spans="1:7" x14ac:dyDescent="0.35">
      <c r="A283" t="str">
        <f>IF('2. ITEM MASTER'!A283="","",'2. ITEM MASTER'!A283)</f>
        <v/>
      </c>
      <c r="B283" t="str">
        <f>IFERROR(VLOOKUP($A283,'2. ITEM MASTER'!$A:$D,2,FALSE),"")</f>
        <v/>
      </c>
      <c r="C283" t="str">
        <f>IFERROR(VLOOKUP($A283,'2. ITEM MASTER'!$A:$D,3,FALSE),"")</f>
        <v/>
      </c>
      <c r="D283" s="3" t="str">
        <f>IF($A283="","",SUMIF('3. STOCK IN'!$B:$B,$A283,'3. STOCK IN'!$E:$E))</f>
        <v/>
      </c>
      <c r="E283" s="3" t="str">
        <f>IF($A283="","",SUMIF('4. STOCK OUT'!$B:$B,$A283,'4. STOCK OUT'!$E:$E))</f>
        <v/>
      </c>
      <c r="F283" s="3" t="str">
        <f t="shared" si="4"/>
        <v/>
      </c>
      <c r="G283" t="str">
        <f>IF($A283="","",IFERROR(IF($F283&lt;=0,"OUT OF STOCK",IF($F283&lt;=VLOOKUP($A283,'2. ITEM MASTER'!$A:$D,4,FALSE),"LOW STOCK","OK")),""))</f>
        <v/>
      </c>
    </row>
    <row r="284" spans="1:7" x14ac:dyDescent="0.35">
      <c r="A284" t="str">
        <f>IF('2. ITEM MASTER'!A284="","",'2. ITEM MASTER'!A284)</f>
        <v/>
      </c>
      <c r="B284" t="str">
        <f>IFERROR(VLOOKUP($A284,'2. ITEM MASTER'!$A:$D,2,FALSE),"")</f>
        <v/>
      </c>
      <c r="C284" t="str">
        <f>IFERROR(VLOOKUP($A284,'2. ITEM MASTER'!$A:$D,3,FALSE),"")</f>
        <v/>
      </c>
      <c r="D284" s="3" t="str">
        <f>IF($A284="","",SUMIF('3. STOCK IN'!$B:$B,$A284,'3. STOCK IN'!$E:$E))</f>
        <v/>
      </c>
      <c r="E284" s="3" t="str">
        <f>IF($A284="","",SUMIF('4. STOCK OUT'!$B:$B,$A284,'4. STOCK OUT'!$E:$E))</f>
        <v/>
      </c>
      <c r="F284" s="3" t="str">
        <f t="shared" si="4"/>
        <v/>
      </c>
      <c r="G284" t="str">
        <f>IF($A284="","",IFERROR(IF($F284&lt;=0,"OUT OF STOCK",IF($F284&lt;=VLOOKUP($A284,'2. ITEM MASTER'!$A:$D,4,FALSE),"LOW STOCK","OK")),""))</f>
        <v/>
      </c>
    </row>
    <row r="285" spans="1:7" x14ac:dyDescent="0.35">
      <c r="A285" t="str">
        <f>IF('2. ITEM MASTER'!A285="","",'2. ITEM MASTER'!A285)</f>
        <v/>
      </c>
      <c r="B285" t="str">
        <f>IFERROR(VLOOKUP($A285,'2. ITEM MASTER'!$A:$D,2,FALSE),"")</f>
        <v/>
      </c>
      <c r="C285" t="str">
        <f>IFERROR(VLOOKUP($A285,'2. ITEM MASTER'!$A:$D,3,FALSE),"")</f>
        <v/>
      </c>
      <c r="D285" s="3" t="str">
        <f>IF($A285="","",SUMIF('3. STOCK IN'!$B:$B,$A285,'3. STOCK IN'!$E:$E))</f>
        <v/>
      </c>
      <c r="E285" s="3" t="str">
        <f>IF($A285="","",SUMIF('4. STOCK OUT'!$B:$B,$A285,'4. STOCK OUT'!$E:$E))</f>
        <v/>
      </c>
      <c r="F285" s="3" t="str">
        <f t="shared" si="4"/>
        <v/>
      </c>
      <c r="G285" t="str">
        <f>IF($A285="","",IFERROR(IF($F285&lt;=0,"OUT OF STOCK",IF($F285&lt;=VLOOKUP($A285,'2. ITEM MASTER'!$A:$D,4,FALSE),"LOW STOCK","OK")),""))</f>
        <v/>
      </c>
    </row>
    <row r="286" spans="1:7" x14ac:dyDescent="0.35">
      <c r="A286" t="str">
        <f>IF('2. ITEM MASTER'!A286="","",'2. ITEM MASTER'!A286)</f>
        <v/>
      </c>
      <c r="B286" t="str">
        <f>IFERROR(VLOOKUP($A286,'2. ITEM MASTER'!$A:$D,2,FALSE),"")</f>
        <v/>
      </c>
      <c r="C286" t="str">
        <f>IFERROR(VLOOKUP($A286,'2. ITEM MASTER'!$A:$D,3,FALSE),"")</f>
        <v/>
      </c>
      <c r="D286" s="3" t="str">
        <f>IF($A286="","",SUMIF('3. STOCK IN'!$B:$B,$A286,'3. STOCK IN'!$E:$E))</f>
        <v/>
      </c>
      <c r="E286" s="3" t="str">
        <f>IF($A286="","",SUMIF('4. STOCK OUT'!$B:$B,$A286,'4. STOCK OUT'!$E:$E))</f>
        <v/>
      </c>
      <c r="F286" s="3" t="str">
        <f t="shared" si="4"/>
        <v/>
      </c>
      <c r="G286" t="str">
        <f>IF($A286="","",IFERROR(IF($F286&lt;=0,"OUT OF STOCK",IF($F286&lt;=VLOOKUP($A286,'2. ITEM MASTER'!$A:$D,4,FALSE),"LOW STOCK","OK")),""))</f>
        <v/>
      </c>
    </row>
    <row r="287" spans="1:7" x14ac:dyDescent="0.35">
      <c r="A287" t="str">
        <f>IF('2. ITEM MASTER'!A287="","",'2. ITEM MASTER'!A287)</f>
        <v/>
      </c>
      <c r="B287" t="str">
        <f>IFERROR(VLOOKUP($A287,'2. ITEM MASTER'!$A:$D,2,FALSE),"")</f>
        <v/>
      </c>
      <c r="C287" t="str">
        <f>IFERROR(VLOOKUP($A287,'2. ITEM MASTER'!$A:$D,3,FALSE),"")</f>
        <v/>
      </c>
      <c r="D287" s="3" t="str">
        <f>IF($A287="","",SUMIF('3. STOCK IN'!$B:$B,$A287,'3. STOCK IN'!$E:$E))</f>
        <v/>
      </c>
      <c r="E287" s="3" t="str">
        <f>IF($A287="","",SUMIF('4. STOCK OUT'!$B:$B,$A287,'4. STOCK OUT'!$E:$E))</f>
        <v/>
      </c>
      <c r="F287" s="3" t="str">
        <f t="shared" si="4"/>
        <v/>
      </c>
      <c r="G287" t="str">
        <f>IF($A287="","",IFERROR(IF($F287&lt;=0,"OUT OF STOCK",IF($F287&lt;=VLOOKUP($A287,'2. ITEM MASTER'!$A:$D,4,FALSE),"LOW STOCK","OK")),""))</f>
        <v/>
      </c>
    </row>
    <row r="288" spans="1:7" x14ac:dyDescent="0.35">
      <c r="A288" t="str">
        <f>IF('2. ITEM MASTER'!A288="","",'2. ITEM MASTER'!A288)</f>
        <v/>
      </c>
      <c r="B288" t="str">
        <f>IFERROR(VLOOKUP($A288,'2. ITEM MASTER'!$A:$D,2,FALSE),"")</f>
        <v/>
      </c>
      <c r="C288" t="str">
        <f>IFERROR(VLOOKUP($A288,'2. ITEM MASTER'!$A:$D,3,FALSE),"")</f>
        <v/>
      </c>
      <c r="D288" s="3" t="str">
        <f>IF($A288="","",SUMIF('3. STOCK IN'!$B:$B,$A288,'3. STOCK IN'!$E:$E))</f>
        <v/>
      </c>
      <c r="E288" s="3" t="str">
        <f>IF($A288="","",SUMIF('4. STOCK OUT'!$B:$B,$A288,'4. STOCK OUT'!$E:$E))</f>
        <v/>
      </c>
      <c r="F288" s="3" t="str">
        <f t="shared" si="4"/>
        <v/>
      </c>
      <c r="G288" t="str">
        <f>IF($A288="","",IFERROR(IF($F288&lt;=0,"OUT OF STOCK",IF($F288&lt;=VLOOKUP($A288,'2. ITEM MASTER'!$A:$D,4,FALSE),"LOW STOCK","OK")),""))</f>
        <v/>
      </c>
    </row>
    <row r="289" spans="1:7" x14ac:dyDescent="0.35">
      <c r="A289" t="str">
        <f>IF('2. ITEM MASTER'!A289="","",'2. ITEM MASTER'!A289)</f>
        <v/>
      </c>
      <c r="B289" t="str">
        <f>IFERROR(VLOOKUP($A289,'2. ITEM MASTER'!$A:$D,2,FALSE),"")</f>
        <v/>
      </c>
      <c r="C289" t="str">
        <f>IFERROR(VLOOKUP($A289,'2. ITEM MASTER'!$A:$D,3,FALSE),"")</f>
        <v/>
      </c>
      <c r="D289" s="3" t="str">
        <f>IF($A289="","",SUMIF('3. STOCK IN'!$B:$B,$A289,'3. STOCK IN'!$E:$E))</f>
        <v/>
      </c>
      <c r="E289" s="3" t="str">
        <f>IF($A289="","",SUMIF('4. STOCK OUT'!$B:$B,$A289,'4. STOCK OUT'!$E:$E))</f>
        <v/>
      </c>
      <c r="F289" s="3" t="str">
        <f t="shared" si="4"/>
        <v/>
      </c>
      <c r="G289" t="str">
        <f>IF($A289="","",IFERROR(IF($F289&lt;=0,"OUT OF STOCK",IF($F289&lt;=VLOOKUP($A289,'2. ITEM MASTER'!$A:$D,4,FALSE),"LOW STOCK","OK")),""))</f>
        <v/>
      </c>
    </row>
    <row r="290" spans="1:7" x14ac:dyDescent="0.35">
      <c r="A290" t="str">
        <f>IF('2. ITEM MASTER'!A290="","",'2. ITEM MASTER'!A290)</f>
        <v/>
      </c>
      <c r="B290" t="str">
        <f>IFERROR(VLOOKUP($A290,'2. ITEM MASTER'!$A:$D,2,FALSE),"")</f>
        <v/>
      </c>
      <c r="C290" t="str">
        <f>IFERROR(VLOOKUP($A290,'2. ITEM MASTER'!$A:$D,3,FALSE),"")</f>
        <v/>
      </c>
      <c r="D290" s="3" t="str">
        <f>IF($A290="","",SUMIF('3. STOCK IN'!$B:$B,$A290,'3. STOCK IN'!$E:$E))</f>
        <v/>
      </c>
      <c r="E290" s="3" t="str">
        <f>IF($A290="","",SUMIF('4. STOCK OUT'!$B:$B,$A290,'4. STOCK OUT'!$E:$E))</f>
        <v/>
      </c>
      <c r="F290" s="3" t="str">
        <f t="shared" si="4"/>
        <v/>
      </c>
      <c r="G290" t="str">
        <f>IF($A290="","",IFERROR(IF($F290&lt;=0,"OUT OF STOCK",IF($F290&lt;=VLOOKUP($A290,'2. ITEM MASTER'!$A:$D,4,FALSE),"LOW STOCK","OK")),""))</f>
        <v/>
      </c>
    </row>
    <row r="291" spans="1:7" x14ac:dyDescent="0.35">
      <c r="A291" t="str">
        <f>IF('2. ITEM MASTER'!A291="","",'2. ITEM MASTER'!A291)</f>
        <v/>
      </c>
      <c r="B291" t="str">
        <f>IFERROR(VLOOKUP($A291,'2. ITEM MASTER'!$A:$D,2,FALSE),"")</f>
        <v/>
      </c>
      <c r="C291" t="str">
        <f>IFERROR(VLOOKUP($A291,'2. ITEM MASTER'!$A:$D,3,FALSE),"")</f>
        <v/>
      </c>
      <c r="D291" s="3" t="str">
        <f>IF($A291="","",SUMIF('3. STOCK IN'!$B:$B,$A291,'3. STOCK IN'!$E:$E))</f>
        <v/>
      </c>
      <c r="E291" s="3" t="str">
        <f>IF($A291="","",SUMIF('4. STOCK OUT'!$B:$B,$A291,'4. STOCK OUT'!$E:$E))</f>
        <v/>
      </c>
      <c r="F291" s="3" t="str">
        <f t="shared" si="4"/>
        <v/>
      </c>
      <c r="G291" t="str">
        <f>IF($A291="","",IFERROR(IF($F291&lt;=0,"OUT OF STOCK",IF($F291&lt;=VLOOKUP($A291,'2. ITEM MASTER'!$A:$D,4,FALSE),"LOW STOCK","OK")),""))</f>
        <v/>
      </c>
    </row>
    <row r="292" spans="1:7" x14ac:dyDescent="0.35">
      <c r="A292" t="str">
        <f>IF('2. ITEM MASTER'!A292="","",'2. ITEM MASTER'!A292)</f>
        <v/>
      </c>
      <c r="B292" t="str">
        <f>IFERROR(VLOOKUP($A292,'2. ITEM MASTER'!$A:$D,2,FALSE),"")</f>
        <v/>
      </c>
      <c r="C292" t="str">
        <f>IFERROR(VLOOKUP($A292,'2. ITEM MASTER'!$A:$D,3,FALSE),"")</f>
        <v/>
      </c>
      <c r="D292" s="3" t="str">
        <f>IF($A292="","",SUMIF('3. STOCK IN'!$B:$B,$A292,'3. STOCK IN'!$E:$E))</f>
        <v/>
      </c>
      <c r="E292" s="3" t="str">
        <f>IF($A292="","",SUMIF('4. STOCK OUT'!$B:$B,$A292,'4. STOCK OUT'!$E:$E))</f>
        <v/>
      </c>
      <c r="F292" s="3" t="str">
        <f t="shared" si="4"/>
        <v/>
      </c>
      <c r="G292" t="str">
        <f>IF($A292="","",IFERROR(IF($F292&lt;=0,"OUT OF STOCK",IF($F292&lt;=VLOOKUP($A292,'2. ITEM MASTER'!$A:$D,4,FALSE),"LOW STOCK","OK")),""))</f>
        <v/>
      </c>
    </row>
    <row r="293" spans="1:7" x14ac:dyDescent="0.35">
      <c r="A293" t="str">
        <f>IF('2. ITEM MASTER'!A293="","",'2. ITEM MASTER'!A293)</f>
        <v/>
      </c>
      <c r="B293" t="str">
        <f>IFERROR(VLOOKUP($A293,'2. ITEM MASTER'!$A:$D,2,FALSE),"")</f>
        <v/>
      </c>
      <c r="C293" t="str">
        <f>IFERROR(VLOOKUP($A293,'2. ITEM MASTER'!$A:$D,3,FALSE),"")</f>
        <v/>
      </c>
      <c r="D293" s="3" t="str">
        <f>IF($A293="","",SUMIF('3. STOCK IN'!$B:$B,$A293,'3. STOCK IN'!$E:$E))</f>
        <v/>
      </c>
      <c r="E293" s="3" t="str">
        <f>IF($A293="","",SUMIF('4. STOCK OUT'!$B:$B,$A293,'4. STOCK OUT'!$E:$E))</f>
        <v/>
      </c>
      <c r="F293" s="3" t="str">
        <f t="shared" si="4"/>
        <v/>
      </c>
      <c r="G293" t="str">
        <f>IF($A293="","",IFERROR(IF($F293&lt;=0,"OUT OF STOCK",IF($F293&lt;=VLOOKUP($A293,'2. ITEM MASTER'!$A:$D,4,FALSE),"LOW STOCK","OK")),""))</f>
        <v/>
      </c>
    </row>
    <row r="294" spans="1:7" x14ac:dyDescent="0.35">
      <c r="A294" t="str">
        <f>IF('2. ITEM MASTER'!A294="","",'2. ITEM MASTER'!A294)</f>
        <v/>
      </c>
      <c r="B294" t="str">
        <f>IFERROR(VLOOKUP($A294,'2. ITEM MASTER'!$A:$D,2,FALSE),"")</f>
        <v/>
      </c>
      <c r="C294" t="str">
        <f>IFERROR(VLOOKUP($A294,'2. ITEM MASTER'!$A:$D,3,FALSE),"")</f>
        <v/>
      </c>
      <c r="D294" s="3" t="str">
        <f>IF($A294="","",SUMIF('3. STOCK IN'!$B:$B,$A294,'3. STOCK IN'!$E:$E))</f>
        <v/>
      </c>
      <c r="E294" s="3" t="str">
        <f>IF($A294="","",SUMIF('4. STOCK OUT'!$B:$B,$A294,'4. STOCK OUT'!$E:$E))</f>
        <v/>
      </c>
      <c r="F294" s="3" t="str">
        <f t="shared" si="4"/>
        <v/>
      </c>
      <c r="G294" t="str">
        <f>IF($A294="","",IFERROR(IF($F294&lt;=0,"OUT OF STOCK",IF($F294&lt;=VLOOKUP($A294,'2. ITEM MASTER'!$A:$D,4,FALSE),"LOW STOCK","OK")),""))</f>
        <v/>
      </c>
    </row>
    <row r="295" spans="1:7" x14ac:dyDescent="0.35">
      <c r="A295" t="str">
        <f>IF('2. ITEM MASTER'!A295="","",'2. ITEM MASTER'!A295)</f>
        <v/>
      </c>
      <c r="B295" t="str">
        <f>IFERROR(VLOOKUP($A295,'2. ITEM MASTER'!$A:$D,2,FALSE),"")</f>
        <v/>
      </c>
      <c r="C295" t="str">
        <f>IFERROR(VLOOKUP($A295,'2. ITEM MASTER'!$A:$D,3,FALSE),"")</f>
        <v/>
      </c>
      <c r="D295" s="3" t="str">
        <f>IF($A295="","",SUMIF('3. STOCK IN'!$B:$B,$A295,'3. STOCK IN'!$E:$E))</f>
        <v/>
      </c>
      <c r="E295" s="3" t="str">
        <f>IF($A295="","",SUMIF('4. STOCK OUT'!$B:$B,$A295,'4. STOCK OUT'!$E:$E))</f>
        <v/>
      </c>
      <c r="F295" s="3" t="str">
        <f t="shared" si="4"/>
        <v/>
      </c>
      <c r="G295" t="str">
        <f>IF($A295="","",IFERROR(IF($F295&lt;=0,"OUT OF STOCK",IF($F295&lt;=VLOOKUP($A295,'2. ITEM MASTER'!$A:$D,4,FALSE),"LOW STOCK","OK")),""))</f>
        <v/>
      </c>
    </row>
    <row r="296" spans="1:7" x14ac:dyDescent="0.35">
      <c r="A296" t="str">
        <f>IF('2. ITEM MASTER'!A296="","",'2. ITEM MASTER'!A296)</f>
        <v/>
      </c>
      <c r="B296" t="str">
        <f>IFERROR(VLOOKUP($A296,'2. ITEM MASTER'!$A:$D,2,FALSE),"")</f>
        <v/>
      </c>
      <c r="C296" t="str">
        <f>IFERROR(VLOOKUP($A296,'2. ITEM MASTER'!$A:$D,3,FALSE),"")</f>
        <v/>
      </c>
      <c r="D296" s="3" t="str">
        <f>IF($A296="","",SUMIF('3. STOCK IN'!$B:$B,$A296,'3. STOCK IN'!$E:$E))</f>
        <v/>
      </c>
      <c r="E296" s="3" t="str">
        <f>IF($A296="","",SUMIF('4. STOCK OUT'!$B:$B,$A296,'4. STOCK OUT'!$E:$E))</f>
        <v/>
      </c>
      <c r="F296" s="3" t="str">
        <f t="shared" si="4"/>
        <v/>
      </c>
      <c r="G296" t="str">
        <f>IF($A296="","",IFERROR(IF($F296&lt;=0,"OUT OF STOCK",IF($F296&lt;=VLOOKUP($A296,'2. ITEM MASTER'!$A:$D,4,FALSE),"LOW STOCK","OK")),""))</f>
        <v/>
      </c>
    </row>
    <row r="297" spans="1:7" x14ac:dyDescent="0.35">
      <c r="A297" t="str">
        <f>IF('2. ITEM MASTER'!A297="","",'2. ITEM MASTER'!A297)</f>
        <v/>
      </c>
      <c r="B297" t="str">
        <f>IFERROR(VLOOKUP($A297,'2. ITEM MASTER'!$A:$D,2,FALSE),"")</f>
        <v/>
      </c>
      <c r="C297" t="str">
        <f>IFERROR(VLOOKUP($A297,'2. ITEM MASTER'!$A:$D,3,FALSE),"")</f>
        <v/>
      </c>
      <c r="D297" s="3" t="str">
        <f>IF($A297="","",SUMIF('3. STOCK IN'!$B:$B,$A297,'3. STOCK IN'!$E:$E))</f>
        <v/>
      </c>
      <c r="E297" s="3" t="str">
        <f>IF($A297="","",SUMIF('4. STOCK OUT'!$B:$B,$A297,'4. STOCK OUT'!$E:$E))</f>
        <v/>
      </c>
      <c r="F297" s="3" t="str">
        <f t="shared" si="4"/>
        <v/>
      </c>
      <c r="G297" t="str">
        <f>IF($A297="","",IFERROR(IF($F297&lt;=0,"OUT OF STOCK",IF($F297&lt;=VLOOKUP($A297,'2. ITEM MASTER'!$A:$D,4,FALSE),"LOW STOCK","OK")),""))</f>
        <v/>
      </c>
    </row>
    <row r="298" spans="1:7" x14ac:dyDescent="0.35">
      <c r="A298" t="str">
        <f>IF('2. ITEM MASTER'!A298="","",'2. ITEM MASTER'!A298)</f>
        <v/>
      </c>
      <c r="B298" t="str">
        <f>IFERROR(VLOOKUP($A298,'2. ITEM MASTER'!$A:$D,2,FALSE),"")</f>
        <v/>
      </c>
      <c r="C298" t="str">
        <f>IFERROR(VLOOKUP($A298,'2. ITEM MASTER'!$A:$D,3,FALSE),"")</f>
        <v/>
      </c>
      <c r="D298" s="3" t="str">
        <f>IF($A298="","",SUMIF('3. STOCK IN'!$B:$B,$A298,'3. STOCK IN'!$E:$E))</f>
        <v/>
      </c>
      <c r="E298" s="3" t="str">
        <f>IF($A298="","",SUMIF('4. STOCK OUT'!$B:$B,$A298,'4. STOCK OUT'!$E:$E))</f>
        <v/>
      </c>
      <c r="F298" s="3" t="str">
        <f t="shared" si="4"/>
        <v/>
      </c>
      <c r="G298" t="str">
        <f>IF($A298="","",IFERROR(IF($F298&lt;=0,"OUT OF STOCK",IF($F298&lt;=VLOOKUP($A298,'2. ITEM MASTER'!$A:$D,4,FALSE),"LOW STOCK","OK")),""))</f>
        <v/>
      </c>
    </row>
    <row r="299" spans="1:7" x14ac:dyDescent="0.35">
      <c r="A299" t="str">
        <f>IF('2. ITEM MASTER'!A299="","",'2. ITEM MASTER'!A299)</f>
        <v/>
      </c>
      <c r="B299" t="str">
        <f>IFERROR(VLOOKUP($A299,'2. ITEM MASTER'!$A:$D,2,FALSE),"")</f>
        <v/>
      </c>
      <c r="C299" t="str">
        <f>IFERROR(VLOOKUP($A299,'2. ITEM MASTER'!$A:$D,3,FALSE),"")</f>
        <v/>
      </c>
      <c r="D299" s="3" t="str">
        <f>IF($A299="","",SUMIF('3. STOCK IN'!$B:$B,$A299,'3. STOCK IN'!$E:$E))</f>
        <v/>
      </c>
      <c r="E299" s="3" t="str">
        <f>IF($A299="","",SUMIF('4. STOCK OUT'!$B:$B,$A299,'4. STOCK OUT'!$E:$E))</f>
        <v/>
      </c>
      <c r="F299" s="3" t="str">
        <f t="shared" si="4"/>
        <v/>
      </c>
      <c r="G299" t="str">
        <f>IF($A299="","",IFERROR(IF($F299&lt;=0,"OUT OF STOCK",IF($F299&lt;=VLOOKUP($A299,'2. ITEM MASTER'!$A:$D,4,FALSE),"LOW STOCK","OK")),""))</f>
        <v/>
      </c>
    </row>
    <row r="300" spans="1:7" x14ac:dyDescent="0.35">
      <c r="A300" t="str">
        <f>IF('2. ITEM MASTER'!A300="","",'2. ITEM MASTER'!A300)</f>
        <v/>
      </c>
      <c r="B300" t="str">
        <f>IFERROR(VLOOKUP($A300,'2. ITEM MASTER'!$A:$D,2,FALSE),"")</f>
        <v/>
      </c>
      <c r="C300" t="str">
        <f>IFERROR(VLOOKUP($A300,'2. ITEM MASTER'!$A:$D,3,FALSE),"")</f>
        <v/>
      </c>
      <c r="D300" s="3" t="str">
        <f>IF($A300="","",SUMIF('3. STOCK IN'!$B:$B,$A300,'3. STOCK IN'!$E:$E))</f>
        <v/>
      </c>
      <c r="E300" s="3" t="str">
        <f>IF($A300="","",SUMIF('4. STOCK OUT'!$B:$B,$A300,'4. STOCK OUT'!$E:$E))</f>
        <v/>
      </c>
      <c r="F300" s="3" t="str">
        <f t="shared" si="4"/>
        <v/>
      </c>
      <c r="G300" t="str">
        <f>IF($A300="","",IFERROR(IF($F300&lt;=0,"OUT OF STOCK",IF($F300&lt;=VLOOKUP($A300,'2. ITEM MASTER'!$A:$D,4,FALSE),"LOW STOCK","OK")),""))</f>
        <v/>
      </c>
    </row>
    <row r="301" spans="1:7" x14ac:dyDescent="0.35">
      <c r="A301" t="str">
        <f>IF('2. ITEM MASTER'!A301="","",'2. ITEM MASTER'!A301)</f>
        <v/>
      </c>
      <c r="B301" t="str">
        <f>IFERROR(VLOOKUP($A301,'2. ITEM MASTER'!$A:$D,2,FALSE),"")</f>
        <v/>
      </c>
      <c r="C301" t="str">
        <f>IFERROR(VLOOKUP($A301,'2. ITEM MASTER'!$A:$D,3,FALSE),"")</f>
        <v/>
      </c>
      <c r="D301" s="3" t="str">
        <f>IF($A301="","",SUMIF('3. STOCK IN'!$B:$B,$A301,'3. STOCK IN'!$E:$E))</f>
        <v/>
      </c>
      <c r="E301" s="3" t="str">
        <f>IF($A301="","",SUMIF('4. STOCK OUT'!$B:$B,$A301,'4. STOCK OUT'!$E:$E))</f>
        <v/>
      </c>
      <c r="F301" s="3" t="str">
        <f t="shared" si="4"/>
        <v/>
      </c>
      <c r="G301" t="str">
        <f>IF($A301="","",IFERROR(IF($F301&lt;=0,"OUT OF STOCK",IF($F301&lt;=VLOOKUP($A301,'2. ITEM MASTER'!$A:$D,4,FALSE),"LOW STOCK","OK")),""))</f>
        <v/>
      </c>
    </row>
    <row r="302" spans="1:7" x14ac:dyDescent="0.35">
      <c r="A302" t="str">
        <f>IF('2. ITEM MASTER'!A302="","",'2. ITEM MASTER'!A302)</f>
        <v/>
      </c>
      <c r="B302" t="str">
        <f>IFERROR(VLOOKUP($A302,'2. ITEM MASTER'!$A:$D,2,FALSE),"")</f>
        <v/>
      </c>
      <c r="C302" t="str">
        <f>IFERROR(VLOOKUP($A302,'2. ITEM MASTER'!$A:$D,3,FALSE),"")</f>
        <v/>
      </c>
      <c r="D302" s="3" t="str">
        <f>IF($A302="","",SUMIF('3. STOCK IN'!$B:$B,$A302,'3. STOCK IN'!$E:$E))</f>
        <v/>
      </c>
      <c r="E302" s="3" t="str">
        <f>IF($A302="","",SUMIF('4. STOCK OUT'!$B:$B,$A302,'4. STOCK OUT'!$E:$E))</f>
        <v/>
      </c>
      <c r="F302" s="3" t="str">
        <f t="shared" si="4"/>
        <v/>
      </c>
      <c r="G302" t="str">
        <f>IF($A302="","",IFERROR(IF($F302&lt;=0,"OUT OF STOCK",IF($F302&lt;=VLOOKUP($A302,'2. ITEM MASTER'!$A:$D,4,FALSE),"LOW STOCK","OK")),""))</f>
        <v/>
      </c>
    </row>
    <row r="303" spans="1:7" x14ac:dyDescent="0.35">
      <c r="A303" t="str">
        <f>IF('2. ITEM MASTER'!A303="","",'2. ITEM MASTER'!A303)</f>
        <v/>
      </c>
      <c r="B303" t="str">
        <f>IFERROR(VLOOKUP($A303,'2. ITEM MASTER'!$A:$D,2,FALSE),"")</f>
        <v/>
      </c>
      <c r="C303" t="str">
        <f>IFERROR(VLOOKUP($A303,'2. ITEM MASTER'!$A:$D,3,FALSE),"")</f>
        <v/>
      </c>
      <c r="D303" s="3" t="str">
        <f>IF($A303="","",SUMIF('3. STOCK IN'!$B:$B,$A303,'3. STOCK IN'!$E:$E))</f>
        <v/>
      </c>
      <c r="E303" s="3" t="str">
        <f>IF($A303="","",SUMIF('4. STOCK OUT'!$B:$B,$A303,'4. STOCK OUT'!$E:$E))</f>
        <v/>
      </c>
      <c r="F303" s="3" t="str">
        <f t="shared" si="4"/>
        <v/>
      </c>
      <c r="G303" t="str">
        <f>IF($A303="","",IFERROR(IF($F303&lt;=0,"OUT OF STOCK",IF($F303&lt;=VLOOKUP($A303,'2. ITEM MASTER'!$A:$D,4,FALSE),"LOW STOCK","OK")),""))</f>
        <v/>
      </c>
    </row>
    <row r="304" spans="1:7" x14ac:dyDescent="0.35">
      <c r="A304" t="str">
        <f>IF('2. ITEM MASTER'!A304="","",'2. ITEM MASTER'!A304)</f>
        <v/>
      </c>
      <c r="B304" t="str">
        <f>IFERROR(VLOOKUP($A304,'2. ITEM MASTER'!$A:$D,2,FALSE),"")</f>
        <v/>
      </c>
      <c r="C304" t="str">
        <f>IFERROR(VLOOKUP($A304,'2. ITEM MASTER'!$A:$D,3,FALSE),"")</f>
        <v/>
      </c>
      <c r="D304" s="3" t="str">
        <f>IF($A304="","",SUMIF('3. STOCK IN'!$B:$B,$A304,'3. STOCK IN'!$E:$E))</f>
        <v/>
      </c>
      <c r="E304" s="3" t="str">
        <f>IF($A304="","",SUMIF('4. STOCK OUT'!$B:$B,$A304,'4. STOCK OUT'!$E:$E))</f>
        <v/>
      </c>
      <c r="F304" s="3" t="str">
        <f t="shared" si="4"/>
        <v/>
      </c>
      <c r="G304" t="str">
        <f>IF($A304="","",IFERROR(IF($F304&lt;=0,"OUT OF STOCK",IF($F304&lt;=VLOOKUP($A304,'2. ITEM MASTER'!$A:$D,4,FALSE),"LOW STOCK","OK")),""))</f>
        <v/>
      </c>
    </row>
    <row r="305" spans="1:7" x14ac:dyDescent="0.35">
      <c r="A305" t="str">
        <f>IF('2. ITEM MASTER'!A305="","",'2. ITEM MASTER'!A305)</f>
        <v/>
      </c>
      <c r="B305" t="str">
        <f>IFERROR(VLOOKUP($A305,'2. ITEM MASTER'!$A:$D,2,FALSE),"")</f>
        <v/>
      </c>
      <c r="C305" t="str">
        <f>IFERROR(VLOOKUP($A305,'2. ITEM MASTER'!$A:$D,3,FALSE),"")</f>
        <v/>
      </c>
      <c r="D305" s="3" t="str">
        <f>IF($A305="","",SUMIF('3. STOCK IN'!$B:$B,$A305,'3. STOCK IN'!$E:$E))</f>
        <v/>
      </c>
      <c r="E305" s="3" t="str">
        <f>IF($A305="","",SUMIF('4. STOCK OUT'!$B:$B,$A305,'4. STOCK OUT'!$E:$E))</f>
        <v/>
      </c>
      <c r="F305" s="3" t="str">
        <f t="shared" si="4"/>
        <v/>
      </c>
      <c r="G305" t="str">
        <f>IF($A305="","",IFERROR(IF($F305&lt;=0,"OUT OF STOCK",IF($F305&lt;=VLOOKUP($A305,'2. ITEM MASTER'!$A:$D,4,FALSE),"LOW STOCK","OK")),""))</f>
        <v/>
      </c>
    </row>
    <row r="306" spans="1:7" x14ac:dyDescent="0.35">
      <c r="A306" t="str">
        <f>IF('2. ITEM MASTER'!A306="","",'2. ITEM MASTER'!A306)</f>
        <v/>
      </c>
      <c r="B306" t="str">
        <f>IFERROR(VLOOKUP($A306,'2. ITEM MASTER'!$A:$D,2,FALSE),"")</f>
        <v/>
      </c>
      <c r="C306" t="str">
        <f>IFERROR(VLOOKUP($A306,'2. ITEM MASTER'!$A:$D,3,FALSE),"")</f>
        <v/>
      </c>
      <c r="D306" s="3" t="str">
        <f>IF($A306="","",SUMIF('3. STOCK IN'!$B:$B,$A306,'3. STOCK IN'!$E:$E))</f>
        <v/>
      </c>
      <c r="E306" s="3" t="str">
        <f>IF($A306="","",SUMIF('4. STOCK OUT'!$B:$B,$A306,'4. STOCK OUT'!$E:$E))</f>
        <v/>
      </c>
      <c r="F306" s="3" t="str">
        <f t="shared" si="4"/>
        <v/>
      </c>
      <c r="G306" t="str">
        <f>IF($A306="","",IFERROR(IF($F306&lt;=0,"OUT OF STOCK",IF($F306&lt;=VLOOKUP($A306,'2. ITEM MASTER'!$A:$D,4,FALSE),"LOW STOCK","OK")),""))</f>
        <v/>
      </c>
    </row>
    <row r="307" spans="1:7" x14ac:dyDescent="0.35">
      <c r="A307" t="str">
        <f>IF('2. ITEM MASTER'!A307="","",'2. ITEM MASTER'!A307)</f>
        <v/>
      </c>
      <c r="B307" t="str">
        <f>IFERROR(VLOOKUP($A307,'2. ITEM MASTER'!$A:$D,2,FALSE),"")</f>
        <v/>
      </c>
      <c r="C307" t="str">
        <f>IFERROR(VLOOKUP($A307,'2. ITEM MASTER'!$A:$D,3,FALSE),"")</f>
        <v/>
      </c>
      <c r="D307" s="3" t="str">
        <f>IF($A307="","",SUMIF('3. STOCK IN'!$B:$B,$A307,'3. STOCK IN'!$E:$E))</f>
        <v/>
      </c>
      <c r="E307" s="3" t="str">
        <f>IF($A307="","",SUMIF('4. STOCK OUT'!$B:$B,$A307,'4. STOCK OUT'!$E:$E))</f>
        <v/>
      </c>
      <c r="F307" s="3" t="str">
        <f t="shared" si="4"/>
        <v/>
      </c>
      <c r="G307" t="str">
        <f>IF($A307="","",IFERROR(IF($F307&lt;=0,"OUT OF STOCK",IF($F307&lt;=VLOOKUP($A307,'2. ITEM MASTER'!$A:$D,4,FALSE),"LOW STOCK","OK")),""))</f>
        <v/>
      </c>
    </row>
    <row r="308" spans="1:7" x14ac:dyDescent="0.35">
      <c r="A308" t="str">
        <f>IF('2. ITEM MASTER'!A308="","",'2. ITEM MASTER'!A308)</f>
        <v/>
      </c>
      <c r="B308" t="str">
        <f>IFERROR(VLOOKUP($A308,'2. ITEM MASTER'!$A:$D,2,FALSE),"")</f>
        <v/>
      </c>
      <c r="C308" t="str">
        <f>IFERROR(VLOOKUP($A308,'2. ITEM MASTER'!$A:$D,3,FALSE),"")</f>
        <v/>
      </c>
      <c r="D308" s="3" t="str">
        <f>IF($A308="","",SUMIF('3. STOCK IN'!$B:$B,$A308,'3. STOCK IN'!$E:$E))</f>
        <v/>
      </c>
      <c r="E308" s="3" t="str">
        <f>IF($A308="","",SUMIF('4. STOCK OUT'!$B:$B,$A308,'4. STOCK OUT'!$E:$E))</f>
        <v/>
      </c>
      <c r="F308" s="3" t="str">
        <f t="shared" si="4"/>
        <v/>
      </c>
      <c r="G308" t="str">
        <f>IF($A308="","",IFERROR(IF($F308&lt;=0,"OUT OF STOCK",IF($F308&lt;=VLOOKUP($A308,'2. ITEM MASTER'!$A:$D,4,FALSE),"LOW STOCK","OK")),""))</f>
        <v/>
      </c>
    </row>
    <row r="309" spans="1:7" x14ac:dyDescent="0.35">
      <c r="A309" t="str">
        <f>IF('2. ITEM MASTER'!A309="","",'2. ITEM MASTER'!A309)</f>
        <v/>
      </c>
      <c r="B309" t="str">
        <f>IFERROR(VLOOKUP($A309,'2. ITEM MASTER'!$A:$D,2,FALSE),"")</f>
        <v/>
      </c>
      <c r="C309" t="str">
        <f>IFERROR(VLOOKUP($A309,'2. ITEM MASTER'!$A:$D,3,FALSE),"")</f>
        <v/>
      </c>
      <c r="D309" s="3" t="str">
        <f>IF($A309="","",SUMIF('3. STOCK IN'!$B:$B,$A309,'3. STOCK IN'!$E:$E))</f>
        <v/>
      </c>
      <c r="E309" s="3" t="str">
        <f>IF($A309="","",SUMIF('4. STOCK OUT'!$B:$B,$A309,'4. STOCK OUT'!$E:$E))</f>
        <v/>
      </c>
      <c r="F309" s="3" t="str">
        <f t="shared" si="4"/>
        <v/>
      </c>
      <c r="G309" t="str">
        <f>IF($A309="","",IFERROR(IF($F309&lt;=0,"OUT OF STOCK",IF($F309&lt;=VLOOKUP($A309,'2. ITEM MASTER'!$A:$D,4,FALSE),"LOW STOCK","OK")),""))</f>
        <v/>
      </c>
    </row>
    <row r="310" spans="1:7" x14ac:dyDescent="0.35">
      <c r="A310" t="str">
        <f>IF('2. ITEM MASTER'!A310="","",'2. ITEM MASTER'!A310)</f>
        <v/>
      </c>
      <c r="B310" t="str">
        <f>IFERROR(VLOOKUP($A310,'2. ITEM MASTER'!$A:$D,2,FALSE),"")</f>
        <v/>
      </c>
      <c r="C310" t="str">
        <f>IFERROR(VLOOKUP($A310,'2. ITEM MASTER'!$A:$D,3,FALSE),"")</f>
        <v/>
      </c>
      <c r="D310" s="3" t="str">
        <f>IF($A310="","",SUMIF('3. STOCK IN'!$B:$B,$A310,'3. STOCK IN'!$E:$E))</f>
        <v/>
      </c>
      <c r="E310" s="3" t="str">
        <f>IF($A310="","",SUMIF('4. STOCK OUT'!$B:$B,$A310,'4. STOCK OUT'!$E:$E))</f>
        <v/>
      </c>
      <c r="F310" s="3" t="str">
        <f t="shared" si="4"/>
        <v/>
      </c>
      <c r="G310" t="str">
        <f>IF($A310="","",IFERROR(IF($F310&lt;=0,"OUT OF STOCK",IF($F310&lt;=VLOOKUP($A310,'2. ITEM MASTER'!$A:$D,4,FALSE),"LOW STOCK","OK")),""))</f>
        <v/>
      </c>
    </row>
    <row r="311" spans="1:7" x14ac:dyDescent="0.35">
      <c r="A311" t="str">
        <f>IF('2. ITEM MASTER'!A311="","",'2. ITEM MASTER'!A311)</f>
        <v/>
      </c>
      <c r="B311" t="str">
        <f>IFERROR(VLOOKUP($A311,'2. ITEM MASTER'!$A:$D,2,FALSE),"")</f>
        <v/>
      </c>
      <c r="C311" t="str">
        <f>IFERROR(VLOOKUP($A311,'2. ITEM MASTER'!$A:$D,3,FALSE),"")</f>
        <v/>
      </c>
      <c r="D311" s="3" t="str">
        <f>IF($A311="","",SUMIF('3. STOCK IN'!$B:$B,$A311,'3. STOCK IN'!$E:$E))</f>
        <v/>
      </c>
      <c r="E311" s="3" t="str">
        <f>IF($A311="","",SUMIF('4. STOCK OUT'!$B:$B,$A311,'4. STOCK OUT'!$E:$E))</f>
        <v/>
      </c>
      <c r="F311" s="3" t="str">
        <f t="shared" si="4"/>
        <v/>
      </c>
      <c r="G311" t="str">
        <f>IF($A311="","",IFERROR(IF($F311&lt;=0,"OUT OF STOCK",IF($F311&lt;=VLOOKUP($A311,'2. ITEM MASTER'!$A:$D,4,FALSE),"LOW STOCK","OK")),""))</f>
        <v/>
      </c>
    </row>
    <row r="312" spans="1:7" x14ac:dyDescent="0.35">
      <c r="A312" t="str">
        <f>IF('2. ITEM MASTER'!A312="","",'2. ITEM MASTER'!A312)</f>
        <v/>
      </c>
      <c r="B312" t="str">
        <f>IFERROR(VLOOKUP($A312,'2. ITEM MASTER'!$A:$D,2,FALSE),"")</f>
        <v/>
      </c>
      <c r="C312" t="str">
        <f>IFERROR(VLOOKUP($A312,'2. ITEM MASTER'!$A:$D,3,FALSE),"")</f>
        <v/>
      </c>
      <c r="D312" s="3" t="str">
        <f>IF($A312="","",SUMIF('3. STOCK IN'!$B:$B,$A312,'3. STOCK IN'!$E:$E))</f>
        <v/>
      </c>
      <c r="E312" s="3" t="str">
        <f>IF($A312="","",SUMIF('4. STOCK OUT'!$B:$B,$A312,'4. STOCK OUT'!$E:$E))</f>
        <v/>
      </c>
      <c r="F312" s="3" t="str">
        <f t="shared" si="4"/>
        <v/>
      </c>
      <c r="G312" t="str">
        <f>IF($A312="","",IFERROR(IF($F312&lt;=0,"OUT OF STOCK",IF($F312&lt;=VLOOKUP($A312,'2. ITEM MASTER'!$A:$D,4,FALSE),"LOW STOCK","OK")),""))</f>
        <v/>
      </c>
    </row>
    <row r="313" spans="1:7" x14ac:dyDescent="0.35">
      <c r="A313" t="str">
        <f>IF('2. ITEM MASTER'!A313="","",'2. ITEM MASTER'!A313)</f>
        <v/>
      </c>
      <c r="B313" t="str">
        <f>IFERROR(VLOOKUP($A313,'2. ITEM MASTER'!$A:$D,2,FALSE),"")</f>
        <v/>
      </c>
      <c r="C313" t="str">
        <f>IFERROR(VLOOKUP($A313,'2. ITEM MASTER'!$A:$D,3,FALSE),"")</f>
        <v/>
      </c>
      <c r="D313" s="3" t="str">
        <f>IF($A313="","",SUMIF('3. STOCK IN'!$B:$B,$A313,'3. STOCK IN'!$E:$E))</f>
        <v/>
      </c>
      <c r="E313" s="3" t="str">
        <f>IF($A313="","",SUMIF('4. STOCK OUT'!$B:$B,$A313,'4. STOCK OUT'!$E:$E))</f>
        <v/>
      </c>
      <c r="F313" s="3" t="str">
        <f t="shared" si="4"/>
        <v/>
      </c>
      <c r="G313" t="str">
        <f>IF($A313="","",IFERROR(IF($F313&lt;=0,"OUT OF STOCK",IF($F313&lt;=VLOOKUP($A313,'2. ITEM MASTER'!$A:$D,4,FALSE),"LOW STOCK","OK")),""))</f>
        <v/>
      </c>
    </row>
    <row r="314" spans="1:7" x14ac:dyDescent="0.35">
      <c r="A314" t="str">
        <f>IF('2. ITEM MASTER'!A314="","",'2. ITEM MASTER'!A314)</f>
        <v/>
      </c>
      <c r="B314" t="str">
        <f>IFERROR(VLOOKUP($A314,'2. ITEM MASTER'!$A:$D,2,FALSE),"")</f>
        <v/>
      </c>
      <c r="C314" t="str">
        <f>IFERROR(VLOOKUP($A314,'2. ITEM MASTER'!$A:$D,3,FALSE),"")</f>
        <v/>
      </c>
      <c r="D314" s="3" t="str">
        <f>IF($A314="","",SUMIF('3. STOCK IN'!$B:$B,$A314,'3. STOCK IN'!$E:$E))</f>
        <v/>
      </c>
      <c r="E314" s="3" t="str">
        <f>IF($A314="","",SUMIF('4. STOCK OUT'!$B:$B,$A314,'4. STOCK OUT'!$E:$E))</f>
        <v/>
      </c>
      <c r="F314" s="3" t="str">
        <f t="shared" si="4"/>
        <v/>
      </c>
      <c r="G314" t="str">
        <f>IF($A314="","",IFERROR(IF($F314&lt;=0,"OUT OF STOCK",IF($F314&lt;=VLOOKUP($A314,'2. ITEM MASTER'!$A:$D,4,FALSE),"LOW STOCK","OK")),""))</f>
        <v/>
      </c>
    </row>
    <row r="315" spans="1:7" x14ac:dyDescent="0.35">
      <c r="A315" t="str">
        <f>IF('2. ITEM MASTER'!A315="","",'2. ITEM MASTER'!A315)</f>
        <v/>
      </c>
      <c r="B315" t="str">
        <f>IFERROR(VLOOKUP($A315,'2. ITEM MASTER'!$A:$D,2,FALSE),"")</f>
        <v/>
      </c>
      <c r="C315" t="str">
        <f>IFERROR(VLOOKUP($A315,'2. ITEM MASTER'!$A:$D,3,FALSE),"")</f>
        <v/>
      </c>
      <c r="D315" s="3" t="str">
        <f>IF($A315="","",SUMIF('3. STOCK IN'!$B:$B,$A315,'3. STOCK IN'!$E:$E))</f>
        <v/>
      </c>
      <c r="E315" s="3" t="str">
        <f>IF($A315="","",SUMIF('4. STOCK OUT'!$B:$B,$A315,'4. STOCK OUT'!$E:$E))</f>
        <v/>
      </c>
      <c r="F315" s="3" t="str">
        <f t="shared" si="4"/>
        <v/>
      </c>
      <c r="G315" t="str">
        <f>IF($A315="","",IFERROR(IF($F315&lt;=0,"OUT OF STOCK",IF($F315&lt;=VLOOKUP($A315,'2. ITEM MASTER'!$A:$D,4,FALSE),"LOW STOCK","OK")),""))</f>
        <v/>
      </c>
    </row>
    <row r="316" spans="1:7" x14ac:dyDescent="0.35">
      <c r="A316" t="str">
        <f>IF('2. ITEM MASTER'!A316="","",'2. ITEM MASTER'!A316)</f>
        <v/>
      </c>
      <c r="B316" t="str">
        <f>IFERROR(VLOOKUP($A316,'2. ITEM MASTER'!$A:$D,2,FALSE),"")</f>
        <v/>
      </c>
      <c r="C316" t="str">
        <f>IFERROR(VLOOKUP($A316,'2. ITEM MASTER'!$A:$D,3,FALSE),"")</f>
        <v/>
      </c>
      <c r="D316" s="3" t="str">
        <f>IF($A316="","",SUMIF('3. STOCK IN'!$B:$B,$A316,'3. STOCK IN'!$E:$E))</f>
        <v/>
      </c>
      <c r="E316" s="3" t="str">
        <f>IF($A316="","",SUMIF('4. STOCK OUT'!$B:$B,$A316,'4. STOCK OUT'!$E:$E))</f>
        <v/>
      </c>
      <c r="F316" s="3" t="str">
        <f t="shared" si="4"/>
        <v/>
      </c>
      <c r="G316" t="str">
        <f>IF($A316="","",IFERROR(IF($F316&lt;=0,"OUT OF STOCK",IF($F316&lt;=VLOOKUP($A316,'2. ITEM MASTER'!$A:$D,4,FALSE),"LOW STOCK","OK")),""))</f>
        <v/>
      </c>
    </row>
    <row r="317" spans="1:7" x14ac:dyDescent="0.35">
      <c r="A317" t="str">
        <f>IF('2. ITEM MASTER'!A317="","",'2. ITEM MASTER'!A317)</f>
        <v/>
      </c>
      <c r="B317" t="str">
        <f>IFERROR(VLOOKUP($A317,'2. ITEM MASTER'!$A:$D,2,FALSE),"")</f>
        <v/>
      </c>
      <c r="C317" t="str">
        <f>IFERROR(VLOOKUP($A317,'2. ITEM MASTER'!$A:$D,3,FALSE),"")</f>
        <v/>
      </c>
      <c r="D317" s="3" t="str">
        <f>IF($A317="","",SUMIF('3. STOCK IN'!$B:$B,$A317,'3. STOCK IN'!$E:$E))</f>
        <v/>
      </c>
      <c r="E317" s="3" t="str">
        <f>IF($A317="","",SUMIF('4. STOCK OUT'!$B:$B,$A317,'4. STOCK OUT'!$E:$E))</f>
        <v/>
      </c>
      <c r="F317" s="3" t="str">
        <f t="shared" si="4"/>
        <v/>
      </c>
      <c r="G317" t="str">
        <f>IF($A317="","",IFERROR(IF($F317&lt;=0,"OUT OF STOCK",IF($F317&lt;=VLOOKUP($A317,'2. ITEM MASTER'!$A:$D,4,FALSE),"LOW STOCK","OK")),""))</f>
        <v/>
      </c>
    </row>
    <row r="318" spans="1:7" x14ac:dyDescent="0.35">
      <c r="A318" t="str">
        <f>IF('2. ITEM MASTER'!A318="","",'2. ITEM MASTER'!A318)</f>
        <v/>
      </c>
      <c r="B318" t="str">
        <f>IFERROR(VLOOKUP($A318,'2. ITEM MASTER'!$A:$D,2,FALSE),"")</f>
        <v/>
      </c>
      <c r="C318" t="str">
        <f>IFERROR(VLOOKUP($A318,'2. ITEM MASTER'!$A:$D,3,FALSE),"")</f>
        <v/>
      </c>
      <c r="D318" s="3" t="str">
        <f>IF($A318="","",SUMIF('3. STOCK IN'!$B:$B,$A318,'3. STOCK IN'!$E:$E))</f>
        <v/>
      </c>
      <c r="E318" s="3" t="str">
        <f>IF($A318="","",SUMIF('4. STOCK OUT'!$B:$B,$A318,'4. STOCK OUT'!$E:$E))</f>
        <v/>
      </c>
      <c r="F318" s="3" t="str">
        <f t="shared" si="4"/>
        <v/>
      </c>
      <c r="G318" t="str">
        <f>IF($A318="","",IFERROR(IF($F318&lt;=0,"OUT OF STOCK",IF($F318&lt;=VLOOKUP($A318,'2. ITEM MASTER'!$A:$D,4,FALSE),"LOW STOCK","OK")),""))</f>
        <v/>
      </c>
    </row>
    <row r="319" spans="1:7" x14ac:dyDescent="0.35">
      <c r="A319" t="str">
        <f>IF('2. ITEM MASTER'!A319="","",'2. ITEM MASTER'!A319)</f>
        <v/>
      </c>
      <c r="B319" t="str">
        <f>IFERROR(VLOOKUP($A319,'2. ITEM MASTER'!$A:$D,2,FALSE),"")</f>
        <v/>
      </c>
      <c r="C319" t="str">
        <f>IFERROR(VLOOKUP($A319,'2. ITEM MASTER'!$A:$D,3,FALSE),"")</f>
        <v/>
      </c>
      <c r="D319" s="3" t="str">
        <f>IF($A319="","",SUMIF('3. STOCK IN'!$B:$B,$A319,'3. STOCK IN'!$E:$E))</f>
        <v/>
      </c>
      <c r="E319" s="3" t="str">
        <f>IF($A319="","",SUMIF('4. STOCK OUT'!$B:$B,$A319,'4. STOCK OUT'!$E:$E))</f>
        <v/>
      </c>
      <c r="F319" s="3" t="str">
        <f t="shared" si="4"/>
        <v/>
      </c>
      <c r="G319" t="str">
        <f>IF($A319="","",IFERROR(IF($F319&lt;=0,"OUT OF STOCK",IF($F319&lt;=VLOOKUP($A319,'2. ITEM MASTER'!$A:$D,4,FALSE),"LOW STOCK","OK")),""))</f>
        <v/>
      </c>
    </row>
    <row r="320" spans="1:7" x14ac:dyDescent="0.35">
      <c r="A320" t="str">
        <f>IF('2. ITEM MASTER'!A320="","",'2. ITEM MASTER'!A320)</f>
        <v/>
      </c>
      <c r="B320" t="str">
        <f>IFERROR(VLOOKUP($A320,'2. ITEM MASTER'!$A:$D,2,FALSE),"")</f>
        <v/>
      </c>
      <c r="C320" t="str">
        <f>IFERROR(VLOOKUP($A320,'2. ITEM MASTER'!$A:$D,3,FALSE),"")</f>
        <v/>
      </c>
      <c r="D320" s="3" t="str">
        <f>IF($A320="","",SUMIF('3. STOCK IN'!$B:$B,$A320,'3. STOCK IN'!$E:$E))</f>
        <v/>
      </c>
      <c r="E320" s="3" t="str">
        <f>IF($A320="","",SUMIF('4. STOCK OUT'!$B:$B,$A320,'4. STOCK OUT'!$E:$E))</f>
        <v/>
      </c>
      <c r="F320" s="3" t="str">
        <f t="shared" si="4"/>
        <v/>
      </c>
      <c r="G320" t="str">
        <f>IF($A320="","",IFERROR(IF($F320&lt;=0,"OUT OF STOCK",IF($F320&lt;=VLOOKUP($A320,'2. ITEM MASTER'!$A:$D,4,FALSE),"LOW STOCK","OK")),""))</f>
        <v/>
      </c>
    </row>
    <row r="321" spans="1:7" x14ac:dyDescent="0.35">
      <c r="A321" t="str">
        <f>IF('2. ITEM MASTER'!A321="","",'2. ITEM MASTER'!A321)</f>
        <v/>
      </c>
      <c r="B321" t="str">
        <f>IFERROR(VLOOKUP($A321,'2. ITEM MASTER'!$A:$D,2,FALSE),"")</f>
        <v/>
      </c>
      <c r="C321" t="str">
        <f>IFERROR(VLOOKUP($A321,'2. ITEM MASTER'!$A:$D,3,FALSE),"")</f>
        <v/>
      </c>
      <c r="D321" s="3" t="str">
        <f>IF($A321="","",SUMIF('3. STOCK IN'!$B:$B,$A321,'3. STOCK IN'!$E:$E))</f>
        <v/>
      </c>
      <c r="E321" s="3" t="str">
        <f>IF($A321="","",SUMIF('4. STOCK OUT'!$B:$B,$A321,'4. STOCK OUT'!$E:$E))</f>
        <v/>
      </c>
      <c r="F321" s="3" t="str">
        <f t="shared" si="4"/>
        <v/>
      </c>
      <c r="G321" t="str">
        <f>IF($A321="","",IFERROR(IF($F321&lt;=0,"OUT OF STOCK",IF($F321&lt;=VLOOKUP($A321,'2. ITEM MASTER'!$A:$D,4,FALSE),"LOW STOCK","OK")),""))</f>
        <v/>
      </c>
    </row>
    <row r="322" spans="1:7" x14ac:dyDescent="0.35">
      <c r="A322" t="str">
        <f>IF('2. ITEM MASTER'!A322="","",'2. ITEM MASTER'!A322)</f>
        <v/>
      </c>
      <c r="B322" t="str">
        <f>IFERROR(VLOOKUP($A322,'2. ITEM MASTER'!$A:$D,2,FALSE),"")</f>
        <v/>
      </c>
      <c r="C322" t="str">
        <f>IFERROR(VLOOKUP($A322,'2. ITEM MASTER'!$A:$D,3,FALSE),"")</f>
        <v/>
      </c>
      <c r="D322" s="3" t="str">
        <f>IF($A322="","",SUMIF('3. STOCK IN'!$B:$B,$A322,'3. STOCK IN'!$E:$E))</f>
        <v/>
      </c>
      <c r="E322" s="3" t="str">
        <f>IF($A322="","",SUMIF('4. STOCK OUT'!$B:$B,$A322,'4. STOCK OUT'!$E:$E))</f>
        <v/>
      </c>
      <c r="F322" s="3" t="str">
        <f t="shared" ref="F322:F365" si="5">IF($A322="","",IFERROR($D322-$E322,0))</f>
        <v/>
      </c>
      <c r="G322" t="str">
        <f>IF($A322="","",IFERROR(IF($F322&lt;=0,"OUT OF STOCK",IF($F322&lt;=VLOOKUP($A322,'2. ITEM MASTER'!$A:$D,4,FALSE),"LOW STOCK","OK")),""))</f>
        <v/>
      </c>
    </row>
    <row r="323" spans="1:7" x14ac:dyDescent="0.35">
      <c r="A323" t="str">
        <f>IF('2. ITEM MASTER'!A323="","",'2. ITEM MASTER'!A323)</f>
        <v/>
      </c>
      <c r="B323" t="str">
        <f>IFERROR(VLOOKUP($A323,'2. ITEM MASTER'!$A:$D,2,FALSE),"")</f>
        <v/>
      </c>
      <c r="C323" t="str">
        <f>IFERROR(VLOOKUP($A323,'2. ITEM MASTER'!$A:$D,3,FALSE),"")</f>
        <v/>
      </c>
      <c r="D323" s="3" t="str">
        <f>IF($A323="","",SUMIF('3. STOCK IN'!$B:$B,$A323,'3. STOCK IN'!$E:$E))</f>
        <v/>
      </c>
      <c r="E323" s="3" t="str">
        <f>IF($A323="","",SUMIF('4. STOCK OUT'!$B:$B,$A323,'4. STOCK OUT'!$E:$E))</f>
        <v/>
      </c>
      <c r="F323" s="3" t="str">
        <f t="shared" si="5"/>
        <v/>
      </c>
      <c r="G323" t="str">
        <f>IF($A323="","",IFERROR(IF($F323&lt;=0,"OUT OF STOCK",IF($F323&lt;=VLOOKUP($A323,'2. ITEM MASTER'!$A:$D,4,FALSE),"LOW STOCK","OK")),""))</f>
        <v/>
      </c>
    </row>
    <row r="324" spans="1:7" x14ac:dyDescent="0.35">
      <c r="A324" t="str">
        <f>IF('2. ITEM MASTER'!A324="","",'2. ITEM MASTER'!A324)</f>
        <v/>
      </c>
      <c r="B324" t="str">
        <f>IFERROR(VLOOKUP($A324,'2. ITEM MASTER'!$A:$D,2,FALSE),"")</f>
        <v/>
      </c>
      <c r="C324" t="str">
        <f>IFERROR(VLOOKUP($A324,'2. ITEM MASTER'!$A:$D,3,FALSE),"")</f>
        <v/>
      </c>
      <c r="D324" s="3" t="str">
        <f>IF($A324="","",SUMIF('3. STOCK IN'!$B:$B,$A324,'3. STOCK IN'!$E:$E))</f>
        <v/>
      </c>
      <c r="E324" s="3" t="str">
        <f>IF($A324="","",SUMIF('4. STOCK OUT'!$B:$B,$A324,'4. STOCK OUT'!$E:$E))</f>
        <v/>
      </c>
      <c r="F324" s="3" t="str">
        <f t="shared" si="5"/>
        <v/>
      </c>
      <c r="G324" t="str">
        <f>IF($A324="","",IFERROR(IF($F324&lt;=0,"OUT OF STOCK",IF($F324&lt;=VLOOKUP($A324,'2. ITEM MASTER'!$A:$D,4,FALSE),"LOW STOCK","OK")),""))</f>
        <v/>
      </c>
    </row>
    <row r="325" spans="1:7" x14ac:dyDescent="0.35">
      <c r="A325" t="str">
        <f>IF('2. ITEM MASTER'!A325="","",'2. ITEM MASTER'!A325)</f>
        <v/>
      </c>
      <c r="B325" t="str">
        <f>IFERROR(VLOOKUP($A325,'2. ITEM MASTER'!$A:$D,2,FALSE),"")</f>
        <v/>
      </c>
      <c r="C325" t="str">
        <f>IFERROR(VLOOKUP($A325,'2. ITEM MASTER'!$A:$D,3,FALSE),"")</f>
        <v/>
      </c>
      <c r="D325" s="3" t="str">
        <f>IF($A325="","",SUMIF('3. STOCK IN'!$B:$B,$A325,'3. STOCK IN'!$E:$E))</f>
        <v/>
      </c>
      <c r="E325" s="3" t="str">
        <f>IF($A325="","",SUMIF('4. STOCK OUT'!$B:$B,$A325,'4. STOCK OUT'!$E:$E))</f>
        <v/>
      </c>
      <c r="F325" s="3" t="str">
        <f t="shared" si="5"/>
        <v/>
      </c>
      <c r="G325" t="str">
        <f>IF($A325="","",IFERROR(IF($F325&lt;=0,"OUT OF STOCK",IF($F325&lt;=VLOOKUP($A325,'2. ITEM MASTER'!$A:$D,4,FALSE),"LOW STOCK","OK")),""))</f>
        <v/>
      </c>
    </row>
    <row r="326" spans="1:7" x14ac:dyDescent="0.35">
      <c r="A326" t="str">
        <f>IF('2. ITEM MASTER'!A326="","",'2. ITEM MASTER'!A326)</f>
        <v/>
      </c>
      <c r="B326" t="str">
        <f>IFERROR(VLOOKUP($A326,'2. ITEM MASTER'!$A:$D,2,FALSE),"")</f>
        <v/>
      </c>
      <c r="C326" t="str">
        <f>IFERROR(VLOOKUP($A326,'2. ITEM MASTER'!$A:$D,3,FALSE),"")</f>
        <v/>
      </c>
      <c r="D326" s="3" t="str">
        <f>IF($A326="","",SUMIF('3. STOCK IN'!$B:$B,$A326,'3. STOCK IN'!$E:$E))</f>
        <v/>
      </c>
      <c r="E326" s="3" t="str">
        <f>IF($A326="","",SUMIF('4. STOCK OUT'!$B:$B,$A326,'4. STOCK OUT'!$E:$E))</f>
        <v/>
      </c>
      <c r="F326" s="3" t="str">
        <f t="shared" si="5"/>
        <v/>
      </c>
      <c r="G326" t="str">
        <f>IF($A326="","",IFERROR(IF($F326&lt;=0,"OUT OF STOCK",IF($F326&lt;=VLOOKUP($A326,'2. ITEM MASTER'!$A:$D,4,FALSE),"LOW STOCK","OK")),""))</f>
        <v/>
      </c>
    </row>
    <row r="327" spans="1:7" x14ac:dyDescent="0.35">
      <c r="A327" t="str">
        <f>IF('2. ITEM MASTER'!A327="","",'2. ITEM MASTER'!A327)</f>
        <v/>
      </c>
      <c r="B327" t="str">
        <f>IFERROR(VLOOKUP($A327,'2. ITEM MASTER'!$A:$D,2,FALSE),"")</f>
        <v/>
      </c>
      <c r="C327" t="str">
        <f>IFERROR(VLOOKUP($A327,'2. ITEM MASTER'!$A:$D,3,FALSE),"")</f>
        <v/>
      </c>
      <c r="D327" s="3" t="str">
        <f>IF($A327="","",SUMIF('3. STOCK IN'!$B:$B,$A327,'3. STOCK IN'!$E:$E))</f>
        <v/>
      </c>
      <c r="E327" s="3" t="str">
        <f>IF($A327="","",SUMIF('4. STOCK OUT'!$B:$B,$A327,'4. STOCK OUT'!$E:$E))</f>
        <v/>
      </c>
      <c r="F327" s="3" t="str">
        <f t="shared" si="5"/>
        <v/>
      </c>
      <c r="G327" t="str">
        <f>IF($A327="","",IFERROR(IF($F327&lt;=0,"OUT OF STOCK",IF($F327&lt;=VLOOKUP($A327,'2. ITEM MASTER'!$A:$D,4,FALSE),"LOW STOCK","OK")),""))</f>
        <v/>
      </c>
    </row>
    <row r="328" spans="1:7" x14ac:dyDescent="0.35">
      <c r="A328" t="str">
        <f>IF('2. ITEM MASTER'!A328="","",'2. ITEM MASTER'!A328)</f>
        <v/>
      </c>
      <c r="B328" t="str">
        <f>IFERROR(VLOOKUP($A328,'2. ITEM MASTER'!$A:$D,2,FALSE),"")</f>
        <v/>
      </c>
      <c r="C328" t="str">
        <f>IFERROR(VLOOKUP($A328,'2. ITEM MASTER'!$A:$D,3,FALSE),"")</f>
        <v/>
      </c>
      <c r="D328" s="3" t="str">
        <f>IF($A328="","",SUMIF('3. STOCK IN'!$B:$B,$A328,'3. STOCK IN'!$E:$E))</f>
        <v/>
      </c>
      <c r="E328" s="3" t="str">
        <f>IF($A328="","",SUMIF('4. STOCK OUT'!$B:$B,$A328,'4. STOCK OUT'!$E:$E))</f>
        <v/>
      </c>
      <c r="F328" s="3" t="str">
        <f t="shared" si="5"/>
        <v/>
      </c>
      <c r="G328" t="str">
        <f>IF($A328="","",IFERROR(IF($F328&lt;=0,"OUT OF STOCK",IF($F328&lt;=VLOOKUP($A328,'2. ITEM MASTER'!$A:$D,4,FALSE),"LOW STOCK","OK")),""))</f>
        <v/>
      </c>
    </row>
    <row r="329" spans="1:7" x14ac:dyDescent="0.35">
      <c r="A329" t="str">
        <f>IF('2. ITEM MASTER'!A329="","",'2. ITEM MASTER'!A329)</f>
        <v/>
      </c>
      <c r="B329" t="str">
        <f>IFERROR(VLOOKUP($A329,'2. ITEM MASTER'!$A:$D,2,FALSE),"")</f>
        <v/>
      </c>
      <c r="C329" t="str">
        <f>IFERROR(VLOOKUP($A329,'2. ITEM MASTER'!$A:$D,3,FALSE),"")</f>
        <v/>
      </c>
      <c r="D329" s="3" t="str">
        <f>IF($A329="","",SUMIF('3. STOCK IN'!$B:$B,$A329,'3. STOCK IN'!$E:$E))</f>
        <v/>
      </c>
      <c r="E329" s="3" t="str">
        <f>IF($A329="","",SUMIF('4. STOCK OUT'!$B:$B,$A329,'4. STOCK OUT'!$E:$E))</f>
        <v/>
      </c>
      <c r="F329" s="3" t="str">
        <f t="shared" si="5"/>
        <v/>
      </c>
      <c r="G329" t="str">
        <f>IF($A329="","",IFERROR(IF($F329&lt;=0,"OUT OF STOCK",IF($F329&lt;=VLOOKUP($A329,'2. ITEM MASTER'!$A:$D,4,FALSE),"LOW STOCK","OK")),""))</f>
        <v/>
      </c>
    </row>
    <row r="330" spans="1:7" x14ac:dyDescent="0.35">
      <c r="A330" t="str">
        <f>IF('2. ITEM MASTER'!A330="","",'2. ITEM MASTER'!A330)</f>
        <v/>
      </c>
      <c r="B330" t="str">
        <f>IFERROR(VLOOKUP($A330,'2. ITEM MASTER'!$A:$D,2,FALSE),"")</f>
        <v/>
      </c>
      <c r="C330" t="str">
        <f>IFERROR(VLOOKUP($A330,'2. ITEM MASTER'!$A:$D,3,FALSE),"")</f>
        <v/>
      </c>
      <c r="D330" s="3" t="str">
        <f>IF($A330="","",SUMIF('3. STOCK IN'!$B:$B,$A330,'3. STOCK IN'!$E:$E))</f>
        <v/>
      </c>
      <c r="E330" s="3" t="str">
        <f>IF($A330="","",SUMIF('4. STOCK OUT'!$B:$B,$A330,'4. STOCK OUT'!$E:$E))</f>
        <v/>
      </c>
      <c r="F330" s="3" t="str">
        <f t="shared" si="5"/>
        <v/>
      </c>
      <c r="G330" t="str">
        <f>IF($A330="","",IFERROR(IF($F330&lt;=0,"OUT OF STOCK",IF($F330&lt;=VLOOKUP($A330,'2. ITEM MASTER'!$A:$D,4,FALSE),"LOW STOCK","OK")),""))</f>
        <v/>
      </c>
    </row>
    <row r="331" spans="1:7" x14ac:dyDescent="0.35">
      <c r="A331" t="str">
        <f>IF('2. ITEM MASTER'!A331="","",'2. ITEM MASTER'!A331)</f>
        <v/>
      </c>
      <c r="B331" t="str">
        <f>IFERROR(VLOOKUP($A331,'2. ITEM MASTER'!$A:$D,2,FALSE),"")</f>
        <v/>
      </c>
      <c r="C331" t="str">
        <f>IFERROR(VLOOKUP($A331,'2. ITEM MASTER'!$A:$D,3,FALSE),"")</f>
        <v/>
      </c>
      <c r="D331" s="3" t="str">
        <f>IF($A331="","",SUMIF('3. STOCK IN'!$B:$B,$A331,'3. STOCK IN'!$E:$E))</f>
        <v/>
      </c>
      <c r="E331" s="3" t="str">
        <f>IF($A331="","",SUMIF('4. STOCK OUT'!$B:$B,$A331,'4. STOCK OUT'!$E:$E))</f>
        <v/>
      </c>
      <c r="F331" s="3" t="str">
        <f t="shared" si="5"/>
        <v/>
      </c>
      <c r="G331" t="str">
        <f>IF($A331="","",IFERROR(IF($F331&lt;=0,"OUT OF STOCK",IF($F331&lt;=VLOOKUP($A331,'2. ITEM MASTER'!$A:$D,4,FALSE),"LOW STOCK","OK")),""))</f>
        <v/>
      </c>
    </row>
    <row r="332" spans="1:7" x14ac:dyDescent="0.35">
      <c r="A332" t="str">
        <f>IF('2. ITEM MASTER'!A332="","",'2. ITEM MASTER'!A332)</f>
        <v/>
      </c>
      <c r="B332" t="str">
        <f>IFERROR(VLOOKUP($A332,'2. ITEM MASTER'!$A:$D,2,FALSE),"")</f>
        <v/>
      </c>
      <c r="C332" t="str">
        <f>IFERROR(VLOOKUP($A332,'2. ITEM MASTER'!$A:$D,3,FALSE),"")</f>
        <v/>
      </c>
      <c r="D332" s="3" t="str">
        <f>IF($A332="","",SUMIF('3. STOCK IN'!$B:$B,$A332,'3. STOCK IN'!$E:$E))</f>
        <v/>
      </c>
      <c r="E332" s="3" t="str">
        <f>IF($A332="","",SUMIF('4. STOCK OUT'!$B:$B,$A332,'4. STOCK OUT'!$E:$E))</f>
        <v/>
      </c>
      <c r="F332" s="3" t="str">
        <f t="shared" si="5"/>
        <v/>
      </c>
      <c r="G332" t="str">
        <f>IF($A332="","",IFERROR(IF($F332&lt;=0,"OUT OF STOCK",IF($F332&lt;=VLOOKUP($A332,'2. ITEM MASTER'!$A:$D,4,FALSE),"LOW STOCK","OK")),""))</f>
        <v/>
      </c>
    </row>
    <row r="333" spans="1:7" x14ac:dyDescent="0.35">
      <c r="A333" t="str">
        <f>IF('2. ITEM MASTER'!A333="","",'2. ITEM MASTER'!A333)</f>
        <v/>
      </c>
      <c r="B333" t="str">
        <f>IFERROR(VLOOKUP($A333,'2. ITEM MASTER'!$A:$D,2,FALSE),"")</f>
        <v/>
      </c>
      <c r="C333" t="str">
        <f>IFERROR(VLOOKUP($A333,'2. ITEM MASTER'!$A:$D,3,FALSE),"")</f>
        <v/>
      </c>
      <c r="D333" s="3" t="str">
        <f>IF($A333="","",SUMIF('3. STOCK IN'!$B:$B,$A333,'3. STOCK IN'!$E:$E))</f>
        <v/>
      </c>
      <c r="E333" s="3" t="str">
        <f>IF($A333="","",SUMIF('4. STOCK OUT'!$B:$B,$A333,'4. STOCK OUT'!$E:$E))</f>
        <v/>
      </c>
      <c r="F333" s="3" t="str">
        <f t="shared" si="5"/>
        <v/>
      </c>
      <c r="G333" t="str">
        <f>IF($A333="","",IFERROR(IF($F333&lt;=0,"OUT OF STOCK",IF($F333&lt;=VLOOKUP($A333,'2. ITEM MASTER'!$A:$D,4,FALSE),"LOW STOCK","OK")),""))</f>
        <v/>
      </c>
    </row>
    <row r="334" spans="1:7" x14ac:dyDescent="0.35">
      <c r="A334" t="str">
        <f>IF('2. ITEM MASTER'!A334="","",'2. ITEM MASTER'!A334)</f>
        <v/>
      </c>
      <c r="B334" t="str">
        <f>IFERROR(VLOOKUP($A334,'2. ITEM MASTER'!$A:$D,2,FALSE),"")</f>
        <v/>
      </c>
      <c r="C334" t="str">
        <f>IFERROR(VLOOKUP($A334,'2. ITEM MASTER'!$A:$D,3,FALSE),"")</f>
        <v/>
      </c>
      <c r="D334" s="3" t="str">
        <f>IF($A334="","",SUMIF('3. STOCK IN'!$B:$B,$A334,'3. STOCK IN'!$E:$E))</f>
        <v/>
      </c>
      <c r="E334" s="3" t="str">
        <f>IF($A334="","",SUMIF('4. STOCK OUT'!$B:$B,$A334,'4. STOCK OUT'!$E:$E))</f>
        <v/>
      </c>
      <c r="F334" s="3" t="str">
        <f t="shared" si="5"/>
        <v/>
      </c>
      <c r="G334" t="str">
        <f>IF($A334="","",IFERROR(IF($F334&lt;=0,"OUT OF STOCK",IF($F334&lt;=VLOOKUP($A334,'2. ITEM MASTER'!$A:$D,4,FALSE),"LOW STOCK","OK")),""))</f>
        <v/>
      </c>
    </row>
    <row r="335" spans="1:7" x14ac:dyDescent="0.35">
      <c r="A335" t="str">
        <f>IF('2. ITEM MASTER'!A335="","",'2. ITEM MASTER'!A335)</f>
        <v/>
      </c>
      <c r="B335" t="str">
        <f>IFERROR(VLOOKUP($A335,'2. ITEM MASTER'!$A:$D,2,FALSE),"")</f>
        <v/>
      </c>
      <c r="C335" t="str">
        <f>IFERROR(VLOOKUP($A335,'2. ITEM MASTER'!$A:$D,3,FALSE),"")</f>
        <v/>
      </c>
      <c r="D335" s="3" t="str">
        <f>IF($A335="","",SUMIF('3. STOCK IN'!$B:$B,$A335,'3. STOCK IN'!$E:$E))</f>
        <v/>
      </c>
      <c r="E335" s="3" t="str">
        <f>IF($A335="","",SUMIF('4. STOCK OUT'!$B:$B,$A335,'4. STOCK OUT'!$E:$E))</f>
        <v/>
      </c>
      <c r="F335" s="3" t="str">
        <f t="shared" si="5"/>
        <v/>
      </c>
      <c r="G335" t="str">
        <f>IF($A335="","",IFERROR(IF($F335&lt;=0,"OUT OF STOCK",IF($F335&lt;=VLOOKUP($A335,'2. ITEM MASTER'!$A:$D,4,FALSE),"LOW STOCK","OK")),""))</f>
        <v/>
      </c>
    </row>
    <row r="336" spans="1:7" x14ac:dyDescent="0.35">
      <c r="A336" t="str">
        <f>IF('2. ITEM MASTER'!A336="","",'2. ITEM MASTER'!A336)</f>
        <v/>
      </c>
      <c r="B336" t="str">
        <f>IFERROR(VLOOKUP($A336,'2. ITEM MASTER'!$A:$D,2,FALSE),"")</f>
        <v/>
      </c>
      <c r="C336" t="str">
        <f>IFERROR(VLOOKUP($A336,'2. ITEM MASTER'!$A:$D,3,FALSE),"")</f>
        <v/>
      </c>
      <c r="D336" s="3" t="str">
        <f>IF($A336="","",SUMIF('3. STOCK IN'!$B:$B,$A336,'3. STOCK IN'!$E:$E))</f>
        <v/>
      </c>
      <c r="E336" s="3" t="str">
        <f>IF($A336="","",SUMIF('4. STOCK OUT'!$B:$B,$A336,'4. STOCK OUT'!$E:$E))</f>
        <v/>
      </c>
      <c r="F336" s="3" t="str">
        <f t="shared" si="5"/>
        <v/>
      </c>
      <c r="G336" t="str">
        <f>IF($A336="","",IFERROR(IF($F336&lt;=0,"OUT OF STOCK",IF($F336&lt;=VLOOKUP($A336,'2. ITEM MASTER'!$A:$D,4,FALSE),"LOW STOCK","OK")),""))</f>
        <v/>
      </c>
    </row>
    <row r="337" spans="1:7" x14ac:dyDescent="0.35">
      <c r="A337" t="str">
        <f>IF('2. ITEM MASTER'!A337="","",'2. ITEM MASTER'!A337)</f>
        <v/>
      </c>
      <c r="B337" t="str">
        <f>IFERROR(VLOOKUP($A337,'2. ITEM MASTER'!$A:$D,2,FALSE),"")</f>
        <v/>
      </c>
      <c r="C337" t="str">
        <f>IFERROR(VLOOKUP($A337,'2. ITEM MASTER'!$A:$D,3,FALSE),"")</f>
        <v/>
      </c>
      <c r="D337" s="3" t="str">
        <f>IF($A337="","",SUMIF('3. STOCK IN'!$B:$B,$A337,'3. STOCK IN'!$E:$E))</f>
        <v/>
      </c>
      <c r="E337" s="3" t="str">
        <f>IF($A337="","",SUMIF('4. STOCK OUT'!$B:$B,$A337,'4. STOCK OUT'!$E:$E))</f>
        <v/>
      </c>
      <c r="F337" s="3" t="str">
        <f t="shared" si="5"/>
        <v/>
      </c>
      <c r="G337" t="str">
        <f>IF($A337="","",IFERROR(IF($F337&lt;=0,"OUT OF STOCK",IF($F337&lt;=VLOOKUP($A337,'2. ITEM MASTER'!$A:$D,4,FALSE),"LOW STOCK","OK")),""))</f>
        <v/>
      </c>
    </row>
    <row r="338" spans="1:7" x14ac:dyDescent="0.35">
      <c r="A338" t="str">
        <f>IF('2. ITEM MASTER'!A338="","",'2. ITEM MASTER'!A338)</f>
        <v/>
      </c>
      <c r="B338" t="str">
        <f>IFERROR(VLOOKUP($A338,'2. ITEM MASTER'!$A:$D,2,FALSE),"")</f>
        <v/>
      </c>
      <c r="C338" t="str">
        <f>IFERROR(VLOOKUP($A338,'2. ITEM MASTER'!$A:$D,3,FALSE),"")</f>
        <v/>
      </c>
      <c r="D338" s="3" t="str">
        <f>IF($A338="","",SUMIF('3. STOCK IN'!$B:$B,$A338,'3. STOCK IN'!$E:$E))</f>
        <v/>
      </c>
      <c r="E338" s="3" t="str">
        <f>IF($A338="","",SUMIF('4. STOCK OUT'!$B:$B,$A338,'4. STOCK OUT'!$E:$E))</f>
        <v/>
      </c>
      <c r="F338" s="3" t="str">
        <f t="shared" si="5"/>
        <v/>
      </c>
      <c r="G338" t="str">
        <f>IF($A338="","",IFERROR(IF($F338&lt;=0,"OUT OF STOCK",IF($F338&lt;=VLOOKUP($A338,'2. ITEM MASTER'!$A:$D,4,FALSE),"LOW STOCK","OK")),""))</f>
        <v/>
      </c>
    </row>
    <row r="339" spans="1:7" x14ac:dyDescent="0.35">
      <c r="A339" t="str">
        <f>IF('2. ITEM MASTER'!A339="","",'2. ITEM MASTER'!A339)</f>
        <v/>
      </c>
      <c r="B339" t="str">
        <f>IFERROR(VLOOKUP($A339,'2. ITEM MASTER'!$A:$D,2,FALSE),"")</f>
        <v/>
      </c>
      <c r="C339" t="str">
        <f>IFERROR(VLOOKUP($A339,'2. ITEM MASTER'!$A:$D,3,FALSE),"")</f>
        <v/>
      </c>
      <c r="D339" s="3" t="str">
        <f>IF($A339="","",SUMIF('3. STOCK IN'!$B:$B,$A339,'3. STOCK IN'!$E:$E))</f>
        <v/>
      </c>
      <c r="E339" s="3" t="str">
        <f>IF($A339="","",SUMIF('4. STOCK OUT'!$B:$B,$A339,'4. STOCK OUT'!$E:$E))</f>
        <v/>
      </c>
      <c r="F339" s="3" t="str">
        <f t="shared" si="5"/>
        <v/>
      </c>
      <c r="G339" t="str">
        <f>IF($A339="","",IFERROR(IF($F339&lt;=0,"OUT OF STOCK",IF($F339&lt;=VLOOKUP($A339,'2. ITEM MASTER'!$A:$D,4,FALSE),"LOW STOCK","OK")),""))</f>
        <v/>
      </c>
    </row>
    <row r="340" spans="1:7" x14ac:dyDescent="0.35">
      <c r="A340" t="str">
        <f>IF('2. ITEM MASTER'!A340="","",'2. ITEM MASTER'!A340)</f>
        <v/>
      </c>
      <c r="B340" t="str">
        <f>IFERROR(VLOOKUP($A340,'2. ITEM MASTER'!$A:$D,2,FALSE),"")</f>
        <v/>
      </c>
      <c r="C340" t="str">
        <f>IFERROR(VLOOKUP($A340,'2. ITEM MASTER'!$A:$D,3,FALSE),"")</f>
        <v/>
      </c>
      <c r="D340" s="3" t="str">
        <f>IF($A340="","",SUMIF('3. STOCK IN'!$B:$B,$A340,'3. STOCK IN'!$E:$E))</f>
        <v/>
      </c>
      <c r="E340" s="3" t="str">
        <f>IF($A340="","",SUMIF('4. STOCK OUT'!$B:$B,$A340,'4. STOCK OUT'!$E:$E))</f>
        <v/>
      </c>
      <c r="F340" s="3" t="str">
        <f t="shared" si="5"/>
        <v/>
      </c>
      <c r="G340" t="str">
        <f>IF($A340="","",IFERROR(IF($F340&lt;=0,"OUT OF STOCK",IF($F340&lt;=VLOOKUP($A340,'2. ITEM MASTER'!$A:$D,4,FALSE),"LOW STOCK","OK")),""))</f>
        <v/>
      </c>
    </row>
    <row r="341" spans="1:7" x14ac:dyDescent="0.35">
      <c r="A341" t="str">
        <f>IF('2. ITEM MASTER'!A341="","",'2. ITEM MASTER'!A341)</f>
        <v/>
      </c>
      <c r="B341" t="str">
        <f>IFERROR(VLOOKUP($A341,'2. ITEM MASTER'!$A:$D,2,FALSE),"")</f>
        <v/>
      </c>
      <c r="C341" t="str">
        <f>IFERROR(VLOOKUP($A341,'2. ITEM MASTER'!$A:$D,3,FALSE),"")</f>
        <v/>
      </c>
      <c r="D341" s="3" t="str">
        <f>IF($A341="","",SUMIF('3. STOCK IN'!$B:$B,$A341,'3. STOCK IN'!$E:$E))</f>
        <v/>
      </c>
      <c r="E341" s="3" t="str">
        <f>IF($A341="","",SUMIF('4. STOCK OUT'!$B:$B,$A341,'4. STOCK OUT'!$E:$E))</f>
        <v/>
      </c>
      <c r="F341" s="3" t="str">
        <f t="shared" si="5"/>
        <v/>
      </c>
      <c r="G341" t="str">
        <f>IF($A341="","",IFERROR(IF($F341&lt;=0,"OUT OF STOCK",IF($F341&lt;=VLOOKUP($A341,'2. ITEM MASTER'!$A:$D,4,FALSE),"LOW STOCK","OK")),""))</f>
        <v/>
      </c>
    </row>
    <row r="342" spans="1:7" x14ac:dyDescent="0.35">
      <c r="A342" t="str">
        <f>IF('2. ITEM MASTER'!A342="","",'2. ITEM MASTER'!A342)</f>
        <v/>
      </c>
      <c r="B342" t="str">
        <f>IFERROR(VLOOKUP($A342,'2. ITEM MASTER'!$A:$D,2,FALSE),"")</f>
        <v/>
      </c>
      <c r="C342" t="str">
        <f>IFERROR(VLOOKUP($A342,'2. ITEM MASTER'!$A:$D,3,FALSE),"")</f>
        <v/>
      </c>
      <c r="D342" s="3" t="str">
        <f>IF($A342="","",SUMIF('3. STOCK IN'!$B:$B,$A342,'3. STOCK IN'!$E:$E))</f>
        <v/>
      </c>
      <c r="E342" s="3" t="str">
        <f>IF($A342="","",SUMIF('4. STOCK OUT'!$B:$B,$A342,'4. STOCK OUT'!$E:$E))</f>
        <v/>
      </c>
      <c r="F342" s="3" t="str">
        <f t="shared" si="5"/>
        <v/>
      </c>
      <c r="G342" t="str">
        <f>IF($A342="","",IFERROR(IF($F342&lt;=0,"OUT OF STOCK",IF($F342&lt;=VLOOKUP($A342,'2. ITEM MASTER'!$A:$D,4,FALSE),"LOW STOCK","OK")),""))</f>
        <v/>
      </c>
    </row>
    <row r="343" spans="1:7" x14ac:dyDescent="0.35">
      <c r="A343" t="str">
        <f>IF('2. ITEM MASTER'!A343="","",'2. ITEM MASTER'!A343)</f>
        <v/>
      </c>
      <c r="B343" t="str">
        <f>IFERROR(VLOOKUP($A343,'2. ITEM MASTER'!$A:$D,2,FALSE),"")</f>
        <v/>
      </c>
      <c r="C343" t="str">
        <f>IFERROR(VLOOKUP($A343,'2. ITEM MASTER'!$A:$D,3,FALSE),"")</f>
        <v/>
      </c>
      <c r="D343" s="3" t="str">
        <f>IF($A343="","",SUMIF('3. STOCK IN'!$B:$B,$A343,'3. STOCK IN'!$E:$E))</f>
        <v/>
      </c>
      <c r="E343" s="3" t="str">
        <f>IF($A343="","",SUMIF('4. STOCK OUT'!$B:$B,$A343,'4. STOCK OUT'!$E:$E))</f>
        <v/>
      </c>
      <c r="F343" s="3" t="str">
        <f t="shared" si="5"/>
        <v/>
      </c>
      <c r="G343" t="str">
        <f>IF($A343="","",IFERROR(IF($F343&lt;=0,"OUT OF STOCK",IF($F343&lt;=VLOOKUP($A343,'2. ITEM MASTER'!$A:$D,4,FALSE),"LOW STOCK","OK")),""))</f>
        <v/>
      </c>
    </row>
    <row r="344" spans="1:7" x14ac:dyDescent="0.35">
      <c r="A344" t="str">
        <f>IF('2. ITEM MASTER'!A344="","",'2. ITEM MASTER'!A344)</f>
        <v/>
      </c>
      <c r="B344" t="str">
        <f>IFERROR(VLOOKUP($A344,'2. ITEM MASTER'!$A:$D,2,FALSE),"")</f>
        <v/>
      </c>
      <c r="C344" t="str">
        <f>IFERROR(VLOOKUP($A344,'2. ITEM MASTER'!$A:$D,3,FALSE),"")</f>
        <v/>
      </c>
      <c r="D344" s="3" t="str">
        <f>IF($A344="","",SUMIF('3. STOCK IN'!$B:$B,$A344,'3. STOCK IN'!$E:$E))</f>
        <v/>
      </c>
      <c r="E344" s="3" t="str">
        <f>IF($A344="","",SUMIF('4. STOCK OUT'!$B:$B,$A344,'4. STOCK OUT'!$E:$E))</f>
        <v/>
      </c>
      <c r="F344" s="3" t="str">
        <f t="shared" si="5"/>
        <v/>
      </c>
      <c r="G344" t="str">
        <f>IF($A344="","",IFERROR(IF($F344&lt;=0,"OUT OF STOCK",IF($F344&lt;=VLOOKUP($A344,'2. ITEM MASTER'!$A:$D,4,FALSE),"LOW STOCK","OK")),""))</f>
        <v/>
      </c>
    </row>
    <row r="345" spans="1:7" x14ac:dyDescent="0.35">
      <c r="A345" t="str">
        <f>IF('2. ITEM MASTER'!A345="","",'2. ITEM MASTER'!A345)</f>
        <v/>
      </c>
      <c r="B345" t="str">
        <f>IFERROR(VLOOKUP($A345,'2. ITEM MASTER'!$A:$D,2,FALSE),"")</f>
        <v/>
      </c>
      <c r="C345" t="str">
        <f>IFERROR(VLOOKUP($A345,'2. ITEM MASTER'!$A:$D,3,FALSE),"")</f>
        <v/>
      </c>
      <c r="D345" s="3" t="str">
        <f>IF($A345="","",SUMIF('3. STOCK IN'!$B:$B,$A345,'3. STOCK IN'!$E:$E))</f>
        <v/>
      </c>
      <c r="E345" s="3" t="str">
        <f>IF($A345="","",SUMIF('4. STOCK OUT'!$B:$B,$A345,'4. STOCK OUT'!$E:$E))</f>
        <v/>
      </c>
      <c r="F345" s="3" t="str">
        <f t="shared" si="5"/>
        <v/>
      </c>
      <c r="G345" t="str">
        <f>IF($A345="","",IFERROR(IF($F345&lt;=0,"OUT OF STOCK",IF($F345&lt;=VLOOKUP($A345,'2. ITEM MASTER'!$A:$D,4,FALSE),"LOW STOCK","OK")),""))</f>
        <v/>
      </c>
    </row>
    <row r="346" spans="1:7" x14ac:dyDescent="0.35">
      <c r="A346" t="str">
        <f>IF('2. ITEM MASTER'!A346="","",'2. ITEM MASTER'!A346)</f>
        <v/>
      </c>
      <c r="B346" t="str">
        <f>IFERROR(VLOOKUP($A346,'2. ITEM MASTER'!$A:$D,2,FALSE),"")</f>
        <v/>
      </c>
      <c r="C346" t="str">
        <f>IFERROR(VLOOKUP($A346,'2. ITEM MASTER'!$A:$D,3,FALSE),"")</f>
        <v/>
      </c>
      <c r="D346" s="3" t="str">
        <f>IF($A346="","",SUMIF('3. STOCK IN'!$B:$B,$A346,'3. STOCK IN'!$E:$E))</f>
        <v/>
      </c>
      <c r="E346" s="3" t="str">
        <f>IF($A346="","",SUMIF('4. STOCK OUT'!$B:$B,$A346,'4. STOCK OUT'!$E:$E))</f>
        <v/>
      </c>
      <c r="F346" s="3" t="str">
        <f t="shared" si="5"/>
        <v/>
      </c>
      <c r="G346" t="str">
        <f>IF($A346="","",IFERROR(IF($F346&lt;=0,"OUT OF STOCK",IF($F346&lt;=VLOOKUP($A346,'2. ITEM MASTER'!$A:$D,4,FALSE),"LOW STOCK","OK")),""))</f>
        <v/>
      </c>
    </row>
    <row r="347" spans="1:7" x14ac:dyDescent="0.35">
      <c r="A347" t="str">
        <f>IF('2. ITEM MASTER'!A347="","",'2. ITEM MASTER'!A347)</f>
        <v/>
      </c>
      <c r="B347" t="str">
        <f>IFERROR(VLOOKUP($A347,'2. ITEM MASTER'!$A:$D,2,FALSE),"")</f>
        <v/>
      </c>
      <c r="C347" t="str">
        <f>IFERROR(VLOOKUP($A347,'2. ITEM MASTER'!$A:$D,3,FALSE),"")</f>
        <v/>
      </c>
      <c r="D347" s="3" t="str">
        <f>IF($A347="","",SUMIF('3. STOCK IN'!$B:$B,$A347,'3. STOCK IN'!$E:$E))</f>
        <v/>
      </c>
      <c r="E347" s="3" t="str">
        <f>IF($A347="","",SUMIF('4. STOCK OUT'!$B:$B,$A347,'4. STOCK OUT'!$E:$E))</f>
        <v/>
      </c>
      <c r="F347" s="3" t="str">
        <f t="shared" si="5"/>
        <v/>
      </c>
      <c r="G347" t="str">
        <f>IF($A347="","",IFERROR(IF($F347&lt;=0,"OUT OF STOCK",IF($F347&lt;=VLOOKUP($A347,'2. ITEM MASTER'!$A:$D,4,FALSE),"LOW STOCK","OK")),""))</f>
        <v/>
      </c>
    </row>
    <row r="348" spans="1:7" x14ac:dyDescent="0.35">
      <c r="A348" t="str">
        <f>IF('2. ITEM MASTER'!A348="","",'2. ITEM MASTER'!A348)</f>
        <v/>
      </c>
      <c r="B348" t="str">
        <f>IFERROR(VLOOKUP($A348,'2. ITEM MASTER'!$A:$D,2,FALSE),"")</f>
        <v/>
      </c>
      <c r="C348" t="str">
        <f>IFERROR(VLOOKUP($A348,'2. ITEM MASTER'!$A:$D,3,FALSE),"")</f>
        <v/>
      </c>
      <c r="D348" s="3" t="str">
        <f>IF($A348="","",SUMIF('3. STOCK IN'!$B:$B,$A348,'3. STOCK IN'!$E:$E))</f>
        <v/>
      </c>
      <c r="E348" s="3" t="str">
        <f>IF($A348="","",SUMIF('4. STOCK OUT'!$B:$B,$A348,'4. STOCK OUT'!$E:$E))</f>
        <v/>
      </c>
      <c r="F348" s="3" t="str">
        <f t="shared" si="5"/>
        <v/>
      </c>
      <c r="G348" t="str">
        <f>IF($A348="","",IFERROR(IF($F348&lt;=0,"OUT OF STOCK",IF($F348&lt;=VLOOKUP($A348,'2. ITEM MASTER'!$A:$D,4,FALSE),"LOW STOCK","OK")),""))</f>
        <v/>
      </c>
    </row>
    <row r="349" spans="1:7" x14ac:dyDescent="0.35">
      <c r="A349" t="str">
        <f>IF('2. ITEM MASTER'!A349="","",'2. ITEM MASTER'!A349)</f>
        <v/>
      </c>
      <c r="B349" t="str">
        <f>IFERROR(VLOOKUP($A349,'2. ITEM MASTER'!$A:$D,2,FALSE),"")</f>
        <v/>
      </c>
      <c r="C349" t="str">
        <f>IFERROR(VLOOKUP($A349,'2. ITEM MASTER'!$A:$D,3,FALSE),"")</f>
        <v/>
      </c>
      <c r="D349" s="3" t="str">
        <f>IF($A349="","",SUMIF('3. STOCK IN'!$B:$B,$A349,'3. STOCK IN'!$E:$E))</f>
        <v/>
      </c>
      <c r="E349" s="3" t="str">
        <f>IF($A349="","",SUMIF('4. STOCK OUT'!$B:$B,$A349,'4. STOCK OUT'!$E:$E))</f>
        <v/>
      </c>
      <c r="F349" s="3" t="str">
        <f t="shared" si="5"/>
        <v/>
      </c>
      <c r="G349" t="str">
        <f>IF($A349="","",IFERROR(IF($F349&lt;=0,"OUT OF STOCK",IF($F349&lt;=VLOOKUP($A349,'2. ITEM MASTER'!$A:$D,4,FALSE),"LOW STOCK","OK")),""))</f>
        <v/>
      </c>
    </row>
    <row r="350" spans="1:7" x14ac:dyDescent="0.35">
      <c r="A350" t="str">
        <f>IF('2. ITEM MASTER'!A350="","",'2. ITEM MASTER'!A350)</f>
        <v/>
      </c>
      <c r="B350" t="str">
        <f>IFERROR(VLOOKUP($A350,'2. ITEM MASTER'!$A:$D,2,FALSE),"")</f>
        <v/>
      </c>
      <c r="C350" t="str">
        <f>IFERROR(VLOOKUP($A350,'2. ITEM MASTER'!$A:$D,3,FALSE),"")</f>
        <v/>
      </c>
      <c r="D350" s="3" t="str">
        <f>IF($A350="","",SUMIF('3. STOCK IN'!$B:$B,$A350,'3. STOCK IN'!$E:$E))</f>
        <v/>
      </c>
      <c r="E350" s="3" t="str">
        <f>IF($A350="","",SUMIF('4. STOCK OUT'!$B:$B,$A350,'4. STOCK OUT'!$E:$E))</f>
        <v/>
      </c>
      <c r="F350" s="3" t="str">
        <f t="shared" si="5"/>
        <v/>
      </c>
      <c r="G350" t="str">
        <f>IF($A350="","",IFERROR(IF($F350&lt;=0,"OUT OF STOCK",IF($F350&lt;=VLOOKUP($A350,'2. ITEM MASTER'!$A:$D,4,FALSE),"LOW STOCK","OK")),""))</f>
        <v/>
      </c>
    </row>
    <row r="351" spans="1:7" x14ac:dyDescent="0.35">
      <c r="A351" t="str">
        <f>IF('2. ITEM MASTER'!A351="","",'2. ITEM MASTER'!A351)</f>
        <v/>
      </c>
      <c r="B351" t="str">
        <f>IFERROR(VLOOKUP($A351,'2. ITEM MASTER'!$A:$D,2,FALSE),"")</f>
        <v/>
      </c>
      <c r="C351" t="str">
        <f>IFERROR(VLOOKUP($A351,'2. ITEM MASTER'!$A:$D,3,FALSE),"")</f>
        <v/>
      </c>
      <c r="D351" s="3" t="str">
        <f>IF($A351="","",SUMIF('3. STOCK IN'!$B:$B,$A351,'3. STOCK IN'!$E:$E))</f>
        <v/>
      </c>
      <c r="E351" s="3" t="str">
        <f>IF($A351="","",SUMIF('4. STOCK OUT'!$B:$B,$A351,'4. STOCK OUT'!$E:$E))</f>
        <v/>
      </c>
      <c r="F351" s="3" t="str">
        <f t="shared" si="5"/>
        <v/>
      </c>
      <c r="G351" t="str">
        <f>IF($A351="","",IFERROR(IF($F351&lt;=0,"OUT OF STOCK",IF($F351&lt;=VLOOKUP($A351,'2. ITEM MASTER'!$A:$D,4,FALSE),"LOW STOCK","OK")),""))</f>
        <v/>
      </c>
    </row>
    <row r="352" spans="1:7" x14ac:dyDescent="0.35">
      <c r="A352" t="str">
        <f>IF('2. ITEM MASTER'!A352="","",'2. ITEM MASTER'!A352)</f>
        <v/>
      </c>
      <c r="B352" t="str">
        <f>IFERROR(VLOOKUP($A352,'2. ITEM MASTER'!$A:$D,2,FALSE),"")</f>
        <v/>
      </c>
      <c r="C352" t="str">
        <f>IFERROR(VLOOKUP($A352,'2. ITEM MASTER'!$A:$D,3,FALSE),"")</f>
        <v/>
      </c>
      <c r="D352" s="3" t="str">
        <f>IF($A352="","",SUMIF('3. STOCK IN'!$B:$B,$A352,'3. STOCK IN'!$E:$E))</f>
        <v/>
      </c>
      <c r="E352" s="3" t="str">
        <f>IF($A352="","",SUMIF('4. STOCK OUT'!$B:$B,$A352,'4. STOCK OUT'!$E:$E))</f>
        <v/>
      </c>
      <c r="F352" s="3" t="str">
        <f t="shared" si="5"/>
        <v/>
      </c>
      <c r="G352" t="str">
        <f>IF($A352="","",IFERROR(IF($F352&lt;=0,"OUT OF STOCK",IF($F352&lt;=VLOOKUP($A352,'2. ITEM MASTER'!$A:$D,4,FALSE),"LOW STOCK","OK")),""))</f>
        <v/>
      </c>
    </row>
    <row r="353" spans="1:7" x14ac:dyDescent="0.35">
      <c r="A353" t="str">
        <f>IF('2. ITEM MASTER'!A353="","",'2. ITEM MASTER'!A353)</f>
        <v/>
      </c>
      <c r="B353" t="str">
        <f>IFERROR(VLOOKUP($A353,'2. ITEM MASTER'!$A:$D,2,FALSE),"")</f>
        <v/>
      </c>
      <c r="C353" t="str">
        <f>IFERROR(VLOOKUP($A353,'2. ITEM MASTER'!$A:$D,3,FALSE),"")</f>
        <v/>
      </c>
      <c r="D353" s="3" t="str">
        <f>IF($A353="","",SUMIF('3. STOCK IN'!$B:$B,$A353,'3. STOCK IN'!$E:$E))</f>
        <v/>
      </c>
      <c r="E353" s="3" t="str">
        <f>IF($A353="","",SUMIF('4. STOCK OUT'!$B:$B,$A353,'4. STOCK OUT'!$E:$E))</f>
        <v/>
      </c>
      <c r="F353" s="3" t="str">
        <f t="shared" si="5"/>
        <v/>
      </c>
      <c r="G353" t="str">
        <f>IF($A353="","",IFERROR(IF($F353&lt;=0,"OUT OF STOCK",IF($F353&lt;=VLOOKUP($A353,'2. ITEM MASTER'!$A:$D,4,FALSE),"LOW STOCK","OK")),""))</f>
        <v/>
      </c>
    </row>
    <row r="354" spans="1:7" x14ac:dyDescent="0.35">
      <c r="A354" t="str">
        <f>IF('2. ITEM MASTER'!A354="","",'2. ITEM MASTER'!A354)</f>
        <v/>
      </c>
      <c r="B354" t="str">
        <f>IFERROR(VLOOKUP($A354,'2. ITEM MASTER'!$A:$D,2,FALSE),"")</f>
        <v/>
      </c>
      <c r="C354" t="str">
        <f>IFERROR(VLOOKUP($A354,'2. ITEM MASTER'!$A:$D,3,FALSE),"")</f>
        <v/>
      </c>
      <c r="D354" s="3" t="str">
        <f>IF($A354="","",SUMIF('3. STOCK IN'!$B:$B,$A354,'3. STOCK IN'!$E:$E))</f>
        <v/>
      </c>
      <c r="E354" s="3" t="str">
        <f>IF($A354="","",SUMIF('4. STOCK OUT'!$B:$B,$A354,'4. STOCK OUT'!$E:$E))</f>
        <v/>
      </c>
      <c r="F354" s="3" t="str">
        <f t="shared" si="5"/>
        <v/>
      </c>
      <c r="G354" t="str">
        <f>IF($A354="","",IFERROR(IF($F354&lt;=0,"OUT OF STOCK",IF($F354&lt;=VLOOKUP($A354,'2. ITEM MASTER'!$A:$D,4,FALSE),"LOW STOCK","OK")),""))</f>
        <v/>
      </c>
    </row>
    <row r="355" spans="1:7" x14ac:dyDescent="0.35">
      <c r="A355" t="str">
        <f>IF('2. ITEM MASTER'!A355="","",'2. ITEM MASTER'!A355)</f>
        <v/>
      </c>
      <c r="B355" t="str">
        <f>IFERROR(VLOOKUP($A355,'2. ITEM MASTER'!$A:$D,2,FALSE),"")</f>
        <v/>
      </c>
      <c r="C355" t="str">
        <f>IFERROR(VLOOKUP($A355,'2. ITEM MASTER'!$A:$D,3,FALSE),"")</f>
        <v/>
      </c>
      <c r="D355" s="3" t="str">
        <f>IF($A355="","",SUMIF('3. STOCK IN'!$B:$B,$A355,'3. STOCK IN'!$E:$E))</f>
        <v/>
      </c>
      <c r="E355" s="3" t="str">
        <f>IF($A355="","",SUMIF('4. STOCK OUT'!$B:$B,$A355,'4. STOCK OUT'!$E:$E))</f>
        <v/>
      </c>
      <c r="F355" s="3" t="str">
        <f t="shared" si="5"/>
        <v/>
      </c>
      <c r="G355" t="str">
        <f>IF($A355="","",IFERROR(IF($F355&lt;=0,"OUT OF STOCK",IF($F355&lt;=VLOOKUP($A355,'2. ITEM MASTER'!$A:$D,4,FALSE),"LOW STOCK","OK")),""))</f>
        <v/>
      </c>
    </row>
    <row r="356" spans="1:7" x14ac:dyDescent="0.35">
      <c r="A356" t="str">
        <f>IF('2. ITEM MASTER'!A356="","",'2. ITEM MASTER'!A356)</f>
        <v/>
      </c>
      <c r="B356" t="str">
        <f>IFERROR(VLOOKUP($A356,'2. ITEM MASTER'!$A:$D,2,FALSE),"")</f>
        <v/>
      </c>
      <c r="C356" t="str">
        <f>IFERROR(VLOOKUP($A356,'2. ITEM MASTER'!$A:$D,3,FALSE),"")</f>
        <v/>
      </c>
      <c r="D356" s="3" t="str">
        <f>IF($A356="","",SUMIF('3. STOCK IN'!$B:$B,$A356,'3. STOCK IN'!$E:$E))</f>
        <v/>
      </c>
      <c r="E356" s="3" t="str">
        <f>IF($A356="","",SUMIF('4. STOCK OUT'!$B:$B,$A356,'4. STOCK OUT'!$E:$E))</f>
        <v/>
      </c>
      <c r="F356" s="3" t="str">
        <f t="shared" si="5"/>
        <v/>
      </c>
      <c r="G356" t="str">
        <f>IF($A356="","",IFERROR(IF($F356&lt;=0,"OUT OF STOCK",IF($F356&lt;=VLOOKUP($A356,'2. ITEM MASTER'!$A:$D,4,FALSE),"LOW STOCK","OK")),""))</f>
        <v/>
      </c>
    </row>
    <row r="357" spans="1:7" x14ac:dyDescent="0.35">
      <c r="A357" t="str">
        <f>IF('2. ITEM MASTER'!A357="","",'2. ITEM MASTER'!A357)</f>
        <v/>
      </c>
      <c r="B357" t="str">
        <f>IFERROR(VLOOKUP($A357,'2. ITEM MASTER'!$A:$D,2,FALSE),"")</f>
        <v/>
      </c>
      <c r="C357" t="str">
        <f>IFERROR(VLOOKUP($A357,'2. ITEM MASTER'!$A:$D,3,FALSE),"")</f>
        <v/>
      </c>
      <c r="D357" s="3" t="str">
        <f>IF($A357="","",SUMIF('3. STOCK IN'!$B:$B,$A357,'3. STOCK IN'!$E:$E))</f>
        <v/>
      </c>
      <c r="E357" s="3" t="str">
        <f>IF($A357="","",SUMIF('4. STOCK OUT'!$B:$B,$A357,'4. STOCK OUT'!$E:$E))</f>
        <v/>
      </c>
      <c r="F357" s="3" t="str">
        <f t="shared" si="5"/>
        <v/>
      </c>
      <c r="G357" t="str">
        <f>IF($A357="","",IFERROR(IF($F357&lt;=0,"OUT OF STOCK",IF($F357&lt;=VLOOKUP($A357,'2. ITEM MASTER'!$A:$D,4,FALSE),"LOW STOCK","OK")),""))</f>
        <v/>
      </c>
    </row>
    <row r="358" spans="1:7" x14ac:dyDescent="0.35">
      <c r="A358" t="str">
        <f>IF('2. ITEM MASTER'!A358="","",'2. ITEM MASTER'!A358)</f>
        <v/>
      </c>
      <c r="B358" t="str">
        <f>IFERROR(VLOOKUP($A358,'2. ITEM MASTER'!$A:$D,2,FALSE),"")</f>
        <v/>
      </c>
      <c r="C358" t="str">
        <f>IFERROR(VLOOKUP($A358,'2. ITEM MASTER'!$A:$D,3,FALSE),"")</f>
        <v/>
      </c>
      <c r="D358" s="3" t="str">
        <f>IF($A358="","",SUMIF('3. STOCK IN'!$B:$B,$A358,'3. STOCK IN'!$E:$E))</f>
        <v/>
      </c>
      <c r="E358" s="3" t="str">
        <f>IF($A358="","",SUMIF('4. STOCK OUT'!$B:$B,$A358,'4. STOCK OUT'!$E:$E))</f>
        <v/>
      </c>
      <c r="F358" s="3" t="str">
        <f t="shared" si="5"/>
        <v/>
      </c>
      <c r="G358" t="str">
        <f>IF($A358="","",IFERROR(IF($F358&lt;=0,"OUT OF STOCK",IF($F358&lt;=VLOOKUP($A358,'2. ITEM MASTER'!$A:$D,4,FALSE),"LOW STOCK","OK")),""))</f>
        <v/>
      </c>
    </row>
    <row r="359" spans="1:7" x14ac:dyDescent="0.35">
      <c r="A359" t="str">
        <f>IF('2. ITEM MASTER'!A359="","",'2. ITEM MASTER'!A359)</f>
        <v/>
      </c>
      <c r="B359" t="str">
        <f>IFERROR(VLOOKUP($A359,'2. ITEM MASTER'!$A:$D,2,FALSE),"")</f>
        <v/>
      </c>
      <c r="C359" t="str">
        <f>IFERROR(VLOOKUP($A359,'2. ITEM MASTER'!$A:$D,3,FALSE),"")</f>
        <v/>
      </c>
      <c r="D359" s="3" t="str">
        <f>IF($A359="","",SUMIF('3. STOCK IN'!$B:$B,$A359,'3. STOCK IN'!$E:$E))</f>
        <v/>
      </c>
      <c r="E359" s="3" t="str">
        <f>IF($A359="","",SUMIF('4. STOCK OUT'!$B:$B,$A359,'4. STOCK OUT'!$E:$E))</f>
        <v/>
      </c>
      <c r="F359" s="3" t="str">
        <f t="shared" si="5"/>
        <v/>
      </c>
      <c r="G359" t="str">
        <f>IF($A359="","",IFERROR(IF($F359&lt;=0,"OUT OF STOCK",IF($F359&lt;=VLOOKUP($A359,'2. ITEM MASTER'!$A:$D,4,FALSE),"LOW STOCK","OK")),""))</f>
        <v/>
      </c>
    </row>
    <row r="360" spans="1:7" x14ac:dyDescent="0.35">
      <c r="A360" t="str">
        <f>IF('2. ITEM MASTER'!A360="","",'2. ITEM MASTER'!A360)</f>
        <v/>
      </c>
      <c r="B360" t="str">
        <f>IFERROR(VLOOKUP($A360,'2. ITEM MASTER'!$A:$D,2,FALSE),"")</f>
        <v/>
      </c>
      <c r="C360" t="str">
        <f>IFERROR(VLOOKUP($A360,'2. ITEM MASTER'!$A:$D,3,FALSE),"")</f>
        <v/>
      </c>
      <c r="D360" s="3" t="str">
        <f>IF($A360="","",SUMIF('3. STOCK IN'!$B:$B,$A360,'3. STOCK IN'!$E:$E))</f>
        <v/>
      </c>
      <c r="E360" s="3" t="str">
        <f>IF($A360="","",SUMIF('4. STOCK OUT'!$B:$B,$A360,'4. STOCK OUT'!$E:$E))</f>
        <v/>
      </c>
      <c r="F360" s="3" t="str">
        <f t="shared" si="5"/>
        <v/>
      </c>
      <c r="G360" t="str">
        <f>IF($A360="","",IFERROR(IF($F360&lt;=0,"OUT OF STOCK",IF($F360&lt;=VLOOKUP($A360,'2. ITEM MASTER'!$A:$D,4,FALSE),"LOW STOCK","OK")),""))</f>
        <v/>
      </c>
    </row>
    <row r="361" spans="1:7" x14ac:dyDescent="0.35">
      <c r="A361" t="str">
        <f>IF('2. ITEM MASTER'!A361="","",'2. ITEM MASTER'!A361)</f>
        <v/>
      </c>
      <c r="B361" t="str">
        <f>IFERROR(VLOOKUP($A361,'2. ITEM MASTER'!$A:$D,2,FALSE),"")</f>
        <v/>
      </c>
      <c r="C361" t="str">
        <f>IFERROR(VLOOKUP($A361,'2. ITEM MASTER'!$A:$D,3,FALSE),"")</f>
        <v/>
      </c>
      <c r="D361" s="3" t="str">
        <f>IF($A361="","",SUMIF('3. STOCK IN'!$B:$B,$A361,'3. STOCK IN'!$E:$E))</f>
        <v/>
      </c>
      <c r="E361" s="3" t="str">
        <f>IF($A361="","",SUMIF('4. STOCK OUT'!$B:$B,$A361,'4. STOCK OUT'!$E:$E))</f>
        <v/>
      </c>
      <c r="F361" s="3" t="str">
        <f t="shared" si="5"/>
        <v/>
      </c>
      <c r="G361" t="str">
        <f>IF($A361="","",IFERROR(IF($F361&lt;=0,"OUT OF STOCK",IF($F361&lt;=VLOOKUP($A361,'2. ITEM MASTER'!$A:$D,4,FALSE),"LOW STOCK","OK")),""))</f>
        <v/>
      </c>
    </row>
    <row r="362" spans="1:7" x14ac:dyDescent="0.35">
      <c r="A362" t="str">
        <f>IF('2. ITEM MASTER'!A362="","",'2. ITEM MASTER'!A362)</f>
        <v/>
      </c>
      <c r="B362" t="str">
        <f>IFERROR(VLOOKUP($A362,'2. ITEM MASTER'!$A:$D,2,FALSE),"")</f>
        <v/>
      </c>
      <c r="C362" t="str">
        <f>IFERROR(VLOOKUP($A362,'2. ITEM MASTER'!$A:$D,3,FALSE),"")</f>
        <v/>
      </c>
      <c r="D362" s="3" t="str">
        <f>IF($A362="","",SUMIF('3. STOCK IN'!$B:$B,$A362,'3. STOCK IN'!$E:$E))</f>
        <v/>
      </c>
      <c r="E362" s="3" t="str">
        <f>IF($A362="","",SUMIF('4. STOCK OUT'!$B:$B,$A362,'4. STOCK OUT'!$E:$E))</f>
        <v/>
      </c>
      <c r="F362" s="3" t="str">
        <f t="shared" si="5"/>
        <v/>
      </c>
      <c r="G362" t="str">
        <f>IF($A362="","",IFERROR(IF($F362&lt;=0,"OUT OF STOCK",IF($F362&lt;=VLOOKUP($A362,'2. ITEM MASTER'!$A:$D,4,FALSE),"LOW STOCK","OK")),""))</f>
        <v/>
      </c>
    </row>
    <row r="363" spans="1:7" x14ac:dyDescent="0.35">
      <c r="A363" t="str">
        <f>IF('2. ITEM MASTER'!A363="","",'2. ITEM MASTER'!A363)</f>
        <v/>
      </c>
      <c r="B363" t="str">
        <f>IFERROR(VLOOKUP($A363,'2. ITEM MASTER'!$A:$D,2,FALSE),"")</f>
        <v/>
      </c>
      <c r="C363" t="str">
        <f>IFERROR(VLOOKUP($A363,'2. ITEM MASTER'!$A:$D,3,FALSE),"")</f>
        <v/>
      </c>
      <c r="D363" s="3" t="str">
        <f>IF($A363="","",SUMIF('3. STOCK IN'!$B:$B,$A363,'3. STOCK IN'!$E:$E))</f>
        <v/>
      </c>
      <c r="E363" s="3" t="str">
        <f>IF($A363="","",SUMIF('4. STOCK OUT'!$B:$B,$A363,'4. STOCK OUT'!$E:$E))</f>
        <v/>
      </c>
      <c r="F363" s="3" t="str">
        <f t="shared" si="5"/>
        <v/>
      </c>
      <c r="G363" t="str">
        <f>IF($A363="","",IFERROR(IF($F363&lt;=0,"OUT OF STOCK",IF($F363&lt;=VLOOKUP($A363,'2. ITEM MASTER'!$A:$D,4,FALSE),"LOW STOCK","OK")),""))</f>
        <v/>
      </c>
    </row>
    <row r="364" spans="1:7" x14ac:dyDescent="0.35">
      <c r="A364" t="str">
        <f>IF('2. ITEM MASTER'!A364="","",'2. ITEM MASTER'!A364)</f>
        <v/>
      </c>
      <c r="B364" t="str">
        <f>IFERROR(VLOOKUP($A364,'2. ITEM MASTER'!$A:$D,2,FALSE),"")</f>
        <v/>
      </c>
      <c r="C364" t="str">
        <f>IFERROR(VLOOKUP($A364,'2. ITEM MASTER'!$A:$D,3,FALSE),"")</f>
        <v/>
      </c>
      <c r="D364" s="3" t="str">
        <f>IF($A364="","",SUMIF('3. STOCK IN'!$B:$B,$A364,'3. STOCK IN'!$E:$E))</f>
        <v/>
      </c>
      <c r="E364" s="3" t="str">
        <f>IF($A364="","",SUMIF('4. STOCK OUT'!$B:$B,$A364,'4. STOCK OUT'!$E:$E))</f>
        <v/>
      </c>
      <c r="F364" s="3" t="str">
        <f t="shared" si="5"/>
        <v/>
      </c>
      <c r="G364" t="str">
        <f>IF($A364="","",IFERROR(IF($F364&lt;=0,"OUT OF STOCK",IF($F364&lt;=VLOOKUP($A364,'2. ITEM MASTER'!$A:$D,4,FALSE),"LOW STOCK","OK")),""))</f>
        <v/>
      </c>
    </row>
    <row r="365" spans="1:7" x14ac:dyDescent="0.35">
      <c r="A365" t="str">
        <f>IF('2. ITEM MASTER'!A365="","",'2. ITEM MASTER'!A365)</f>
        <v/>
      </c>
      <c r="B365" t="str">
        <f>IFERROR(VLOOKUP($A365,'2. ITEM MASTER'!$A:$D,2,FALSE),"")</f>
        <v/>
      </c>
      <c r="C365" t="str">
        <f>IFERROR(VLOOKUP($A365,'2. ITEM MASTER'!$A:$D,3,FALSE),"")</f>
        <v/>
      </c>
      <c r="D365" s="3" t="str">
        <f>IF($A365="","",SUMIF('3. STOCK IN'!$B:$B,$A365,'3. STOCK IN'!$E:$E))</f>
        <v/>
      </c>
      <c r="E365" s="3" t="str">
        <f>IF($A365="","",SUMIF('4. STOCK OUT'!$B:$B,$A365,'4. STOCK OUT'!$E:$E))</f>
        <v/>
      </c>
      <c r="F365" s="3" t="str">
        <f t="shared" si="5"/>
        <v/>
      </c>
      <c r="G365" t="str">
        <f>IF($A365="","",IFERROR(IF($F365&lt;=0,"OUT OF STOCK",IF($F365&lt;=VLOOKUP($A365,'2. ITEM MASTER'!$A:$D,4,FALSE),"LOW STOCK","OK")),""))</f>
        <v/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DASHBOARD</vt:lpstr>
      <vt:lpstr>2. ITEM MASTER</vt:lpstr>
      <vt:lpstr>3. STOCK IN</vt:lpstr>
      <vt:lpstr>4. STOCK OUT</vt:lpstr>
      <vt:lpstr>5. CURRENT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shital</cp:lastModifiedBy>
  <dcterms:created xsi:type="dcterms:W3CDTF">2026-09-21T09:34:51Z</dcterms:created>
  <dcterms:modified xsi:type="dcterms:W3CDTF">2026-09-27T12:00:53Z</dcterms:modified>
</cp:coreProperties>
</file>